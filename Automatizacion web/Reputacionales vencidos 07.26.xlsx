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nadia_orellanaoreste_enel_com/Documents/"/>
    </mc:Choice>
  </mc:AlternateContent>
  <xr:revisionPtr revIDLastSave="9" documentId="8_{3F38BD93-1019-40AE-960A-1664E57188E4}" xr6:coauthVersionLast="47" xr6:coauthVersionMax="47" xr10:uidLastSave="{E3D86274-DC4C-461A-A3DF-CACE4AC0777B}"/>
  <bookViews>
    <workbookView xWindow="-110" yWindow="-110" windowWidth="19420" windowHeight="10300" xr2:uid="{54A2EC8C-C34C-4F2F-9995-355ED280E5FC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4" i="1" l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<sst xmlns="http://schemas.openxmlformats.org/spreadsheetml/2006/main" count="1254" uniqueCount="362">
  <si>
    <t>Rut</t>
  </si>
  <si>
    <t>N° Solicitud</t>
  </si>
  <si>
    <t>Contraparte</t>
  </si>
  <si>
    <t>Fecha de solicitud</t>
  </si>
  <si>
    <t>Resultado</t>
  </si>
  <si>
    <t>Fecha de respuesta</t>
  </si>
  <si>
    <t>Vencimiento</t>
  </si>
  <si>
    <t>Estatus</t>
  </si>
  <si>
    <t>96547710-1</t>
  </si>
  <si>
    <t>SPR000000079761</t>
  </si>
  <si>
    <t>96547710-1 - CERVECERÍA CHILE S.A.</t>
  </si>
  <si>
    <t>No relevant or negligible findings/critical facts</t>
  </si>
  <si>
    <t>Vencido</t>
  </si>
  <si>
    <t>90073000-4</t>
  </si>
  <si>
    <t>SPR000000079763</t>
  </si>
  <si>
    <t>90073000-4 - INSTITUTO SANITAS S.A.</t>
  </si>
  <si>
    <t>90212000-9</t>
  </si>
  <si>
    <t>SPR000000079766</t>
  </si>
  <si>
    <t>90212000-9 - CLUB HÍPICO DE SANTIAGO S A</t>
  </si>
  <si>
    <t>90687000-2</t>
  </si>
  <si>
    <t>SPR000000079767</t>
  </si>
  <si>
    <t>90687000-2 - VIDRIOS LIRQUEN S.A.</t>
  </si>
  <si>
    <t>91489000-4</t>
  </si>
  <si>
    <t>SPR000000079770</t>
  </si>
  <si>
    <t>91489000-4 - FINNING CHILE</t>
  </si>
  <si>
    <t>77913187-4</t>
  </si>
  <si>
    <t>SPR000000079834</t>
  </si>
  <si>
    <t>77913187-4 - Inversiones Cot SpA</t>
  </si>
  <si>
    <t>93366000-1</t>
  </si>
  <si>
    <t>SPR000000079883</t>
  </si>
  <si>
    <t>93366000-1 - COMERCIAL LBF LIMITADA</t>
  </si>
  <si>
    <t>96544360-6</t>
  </si>
  <si>
    <t>SPR000000079889</t>
  </si>
  <si>
    <t>96544360-6 - COMERCIAL EL REMANSO S.A</t>
  </si>
  <si>
    <t>96551150-4</t>
  </si>
  <si>
    <t>SPR000000079891</t>
  </si>
  <si>
    <t>96551150-4 - CONTENEDORES SAN FERNANDO SPA.</t>
  </si>
  <si>
    <t>96574510-6</t>
  </si>
  <si>
    <t>SPR000000079892</t>
  </si>
  <si>
    <t>96574510-6 - TINTORERIA INDUST. PEDRO DE VALDIVIA S.A</t>
  </si>
  <si>
    <t>96606780-2</t>
  </si>
  <si>
    <t>SPR000000079893</t>
  </si>
  <si>
    <t>96606780-2 - TRAVERSO</t>
  </si>
  <si>
    <t>77090370-K</t>
  </si>
  <si>
    <t>SPR000000079894</t>
  </si>
  <si>
    <t>77090370-k - Empresas Biosur SpA</t>
  </si>
  <si>
    <t>77682620-0</t>
  </si>
  <si>
    <t>SPR000000079895</t>
  </si>
  <si>
    <t>77682620-0 - COMERCIAL CHAU S.A.</t>
  </si>
  <si>
    <t>76173400-8</t>
  </si>
  <si>
    <t>SPR000000080199</t>
  </si>
  <si>
    <t>76173400-8 - AGRÍCOLA EL QUILLAY LTDA.</t>
  </si>
  <si>
    <t>76526957-1</t>
  </si>
  <si>
    <t>SPR000000080471</t>
  </si>
  <si>
    <t>76526957-1 - Inmobiliaria e inversiones Mar de Chile SPA</t>
  </si>
  <si>
    <t>99541380-9</t>
  </si>
  <si>
    <t>SPR000000080649</t>
  </si>
  <si>
    <t>99541380-9 - AGUAS DEL VALLE S.A.</t>
  </si>
  <si>
    <t>96919180-6</t>
  </si>
  <si>
    <t>SPR000000080669</t>
  </si>
  <si>
    <t>96919180-6 - AGRICOLA Y SERVICIOS HACIENDA CHACABUCO S A</t>
  </si>
  <si>
    <t>77988788-k</t>
  </si>
  <si>
    <t>SPR000000080822</t>
  </si>
  <si>
    <t>77988788-k - VOY SANTIAGO 14 S.A.</t>
  </si>
  <si>
    <t>88683400-4</t>
  </si>
  <si>
    <t>SPR000000081638</t>
  </si>
  <si>
    <t>88683400-4 - EMPRESAS JORDAN S.A.</t>
  </si>
  <si>
    <t>90805000-2</t>
  </si>
  <si>
    <t>SPR000000081640</t>
  </si>
  <si>
    <t>90805000-2 - THE GRANGE SCHOOL S.A.</t>
  </si>
  <si>
    <t>76957747-5</t>
  </si>
  <si>
    <t>SPR000000081653</t>
  </si>
  <si>
    <t>76957747-5 - INMOBILIARIA RENTAS SOUPER SPA.</t>
  </si>
  <si>
    <t>77690677-8</t>
  </si>
  <si>
    <t>SPR000000081655</t>
  </si>
  <si>
    <t>77690677-8 - TERRITORIA SANTA ROSA SPA</t>
  </si>
  <si>
    <t>77696828-5</t>
  </si>
  <si>
    <t>SPR000000081656</t>
  </si>
  <si>
    <t>77696828-5 - Arcadia Generación Solar</t>
  </si>
  <si>
    <t>30-60153481-5</t>
  </si>
  <si>
    <t>SPR000000081658</t>
  </si>
  <si>
    <t>53324620-6</t>
  </si>
  <si>
    <t>SPR000000081659</t>
  </si>
  <si>
    <t>53324620-6 - EDIFICIO APOQUINDO LAS CONDES</t>
  </si>
  <si>
    <t>56069560-8</t>
  </si>
  <si>
    <t>SPR000000081662</t>
  </si>
  <si>
    <t>56069560-8 - Comunidad Edificio El Golf 99</t>
  </si>
  <si>
    <t>56088630-6</t>
  </si>
  <si>
    <t>SPR000000081664</t>
  </si>
  <si>
    <t>56088630-6 - Edificio Apoquindo 3500</t>
  </si>
  <si>
    <t>5844912-1</t>
  </si>
  <si>
    <t>SPR000000081665</t>
  </si>
  <si>
    <t>5844912-1 - RAMON PASTENE URRA</t>
  </si>
  <si>
    <t>61308000-7</t>
  </si>
  <si>
    <t>SPR000000081668</t>
  </si>
  <si>
    <t>61308000-7 - SERVICIO AGRICOLA Y GANADERO</t>
  </si>
  <si>
    <t>65076949-K</t>
  </si>
  <si>
    <t>SPR000000081669</t>
  </si>
  <si>
    <t>65076949-K - SUBCONDOMINIO EDIFICO INGECOL</t>
  </si>
  <si>
    <t>65127959-3</t>
  </si>
  <si>
    <t>SPR000000081670</t>
  </si>
  <si>
    <t>65127959-3 - EDIFICIO COSTANERA PUENTE SUECIA</t>
  </si>
  <si>
    <t>65534320-2</t>
  </si>
  <si>
    <t>SPR000000081671</t>
  </si>
  <si>
    <t>65534320-2 - HACIENDA CHICUREO CLUB</t>
  </si>
  <si>
    <t>7428491-4</t>
  </si>
  <si>
    <t>SPR000000081672</t>
  </si>
  <si>
    <t>7428491-4 - CLAUDIO ALEJANDRO MUÑOZ ROZZI</t>
  </si>
  <si>
    <t>76058376-6</t>
  </si>
  <si>
    <t>SPR000000081673</t>
  </si>
  <si>
    <t>76058376-6 - INVERSIONES AMANECER SPA</t>
  </si>
  <si>
    <t>76100625-8</t>
  </si>
  <si>
    <t>SPR000000081674</t>
  </si>
  <si>
    <t>76100625-8 - RENTAS PATIO I SPA</t>
  </si>
  <si>
    <t>76146937-1</t>
  </si>
  <si>
    <t>SPR000000081677</t>
  </si>
  <si>
    <t>76146937-1 - LV PATIO RENTA INMOBILIARIA I SPA</t>
  </si>
  <si>
    <t>76247365-8</t>
  </si>
  <si>
    <t>SPR000000081680</t>
  </si>
  <si>
    <t>76247365-8 - LV-PATIO RENTA INMOBILIARIA III SPA</t>
  </si>
  <si>
    <t>76254589-6</t>
  </si>
  <si>
    <t>SPR000000081681</t>
  </si>
  <si>
    <t>76254589-6 - INMOBILIARIA Y CONSTRUCTORA COPIAPO S.A.</t>
  </si>
  <si>
    <t>76466225-3</t>
  </si>
  <si>
    <t>SPR000000081700</t>
  </si>
  <si>
    <t>76466225-3 - RA Solar SpA</t>
  </si>
  <si>
    <t>76972628-4</t>
  </si>
  <si>
    <t>SPR000000081702</t>
  </si>
  <si>
    <t>76972628-4 - GR LIUN SPA</t>
  </si>
  <si>
    <t>90193000-7</t>
  </si>
  <si>
    <t>SPR000000081704</t>
  </si>
  <si>
    <t>90193000-7 - EMPRESA EL MERCURIO SAP</t>
  </si>
  <si>
    <t>91216000-9</t>
  </si>
  <si>
    <t>SPR000000081706</t>
  </si>
  <si>
    <t>91216000-9 - VIDRIOS DELL ORTO S.A.</t>
  </si>
  <si>
    <t>91650000-9</t>
  </si>
  <si>
    <t>SPR000000081708</t>
  </si>
  <si>
    <t>91650000-9 - LABORATORIOS SAVAL S.A.</t>
  </si>
  <si>
    <t>92051000-0</t>
  </si>
  <si>
    <t>SPR000000081751</t>
  </si>
  <si>
    <t>92051000-0 - INSTITUTO DE DIAGNOSTICO S.A.</t>
  </si>
  <si>
    <t>96541340-5</t>
  </si>
  <si>
    <t>SPR000000081752</t>
  </si>
  <si>
    <t>96541340-5 - HOTEL CORPORATION OF CHILE S.A.</t>
  </si>
  <si>
    <t>77598126-1</t>
  </si>
  <si>
    <t>SPR000000081753</t>
  </si>
  <si>
    <t>77598126-1 - Valle Frio SPA</t>
  </si>
  <si>
    <t>76703718-k</t>
  </si>
  <si>
    <t>SPR000000081756</t>
  </si>
  <si>
    <t>76703718-k - SOCIEDAD CONCESIONARIA AEROPUERTO EL LOA S.A.</t>
  </si>
  <si>
    <t>85628800-5</t>
  </si>
  <si>
    <t>SPR000000081757</t>
  </si>
  <si>
    <t>85628800-5 - GATE GOURMET CATERING CHILE LTDA.</t>
  </si>
  <si>
    <t>92117000-9</t>
  </si>
  <si>
    <t>SPR000000081759</t>
  </si>
  <si>
    <t>92117000-9 - PROA S.A</t>
  </si>
  <si>
    <t>30-54668997-9</t>
  </si>
  <si>
    <t>SPR000000081847</t>
  </si>
  <si>
    <t>93281000-k</t>
  </si>
  <si>
    <t>SPR000000082079</t>
  </si>
  <si>
    <t>93281000-K - Coca-Cola Embonor SA</t>
  </si>
  <si>
    <t>76240103-7</t>
  </si>
  <si>
    <t>SPR000000082082</t>
  </si>
  <si>
    <t>76240103-7 - GM HOLDINGS S.A.</t>
  </si>
  <si>
    <t>77107881-8</t>
  </si>
  <si>
    <t>SPR000000082084</t>
  </si>
  <si>
    <t>96628870-1</t>
  </si>
  <si>
    <t>SPR000000082086</t>
  </si>
  <si>
    <t>96653650-0</t>
  </si>
  <si>
    <t>SPR000000082087</t>
  </si>
  <si>
    <t>96653650-0 - PLAZA OESTE S.A.</t>
  </si>
  <si>
    <t>96653660-8</t>
  </si>
  <si>
    <t>SPR000000082088</t>
  </si>
  <si>
    <t>96653660-8 - PLAZA DEL TREBOL SPA</t>
  </si>
  <si>
    <t>96671160-4</t>
  </si>
  <si>
    <t>SPR000000082103</t>
  </si>
  <si>
    <t>96671160-4 - SERVICIOS FRIGORIFICO KEEP COLD S.A.</t>
  </si>
  <si>
    <t>96690870-K</t>
  </si>
  <si>
    <t>SPR000000082104</t>
  </si>
  <si>
    <t>96690870-K - INTEGRITY S. A.</t>
  </si>
  <si>
    <t>96698130-K</t>
  </si>
  <si>
    <t>SPR000000082105</t>
  </si>
  <si>
    <t>96705990-0</t>
  </si>
  <si>
    <t>SPR000000082106</t>
  </si>
  <si>
    <t>96718650-3</t>
  </si>
  <si>
    <t>SPR000000082107</t>
  </si>
  <si>
    <t>96810510-8</t>
  </si>
  <si>
    <t>SPR000000082111</t>
  </si>
  <si>
    <t>96810510-8 - FIBROSONOCO S.A.</t>
  </si>
  <si>
    <t>96898980-4</t>
  </si>
  <si>
    <t>SPR000000082115</t>
  </si>
  <si>
    <t>96898980-4 -  CLINICA VESPUCIO</t>
  </si>
  <si>
    <t>96913660-0</t>
  </si>
  <si>
    <t>SPR000000082117</t>
  </si>
  <si>
    <t>96913660-0 - RIVULIS PLASTRO RIEGO LIMITADA</t>
  </si>
  <si>
    <t>96918500-8</t>
  </si>
  <si>
    <t>SPR000000082118</t>
  </si>
  <si>
    <t>96918500-8 - Fittings y Llaverias Ltda.</t>
  </si>
  <si>
    <t>96942440-1</t>
  </si>
  <si>
    <t>SPR000000082119</t>
  </si>
  <si>
    <t>99534220-0</t>
  </si>
  <si>
    <t>SPR000000082120</t>
  </si>
  <si>
    <t>99534220-0 - CARTOCOR CHILE S.A.</t>
  </si>
  <si>
    <t>99548570-2</t>
  </si>
  <si>
    <t>SPR000000082121</t>
  </si>
  <si>
    <t>99573420-6</t>
  </si>
  <si>
    <t>SPR000000082122</t>
  </si>
  <si>
    <t>99573420-6 - SOC. CONCESIONARIA A. BICENTENARIO S.A.</t>
  </si>
  <si>
    <t>99576580-2</t>
  </si>
  <si>
    <t>SPR000000082123</t>
  </si>
  <si>
    <t>99576580-2  - BAGLEY CHILE S.A</t>
  </si>
  <si>
    <t>99593350-0</t>
  </si>
  <si>
    <t>SPR000000082124</t>
  </si>
  <si>
    <t>99594530-4</t>
  </si>
  <si>
    <t>SPR000000082125</t>
  </si>
  <si>
    <t>76410337-8</t>
  </si>
  <si>
    <t>SPR000000082126</t>
  </si>
  <si>
    <t>76410337-8 - RENTAS PATIO VI SPA</t>
  </si>
  <si>
    <t>76526820-6</t>
  </si>
  <si>
    <t>SPR000000082127</t>
  </si>
  <si>
    <t>76526820-6 - ECOMAS S.A</t>
  </si>
  <si>
    <t>76822899-k</t>
  </si>
  <si>
    <t>SPR000000082128</t>
  </si>
  <si>
    <t>76822899-K - Sociedad Concesionaria Aeropuerto Diego Aracena S.A.</t>
  </si>
  <si>
    <t>76827288-3</t>
  </si>
  <si>
    <t>SPR000000082129</t>
  </si>
  <si>
    <t>76832212-0</t>
  </si>
  <si>
    <t>SPR000000082130</t>
  </si>
  <si>
    <t>76832212-0 - Safira Energía Chile Spa</t>
  </si>
  <si>
    <t>61103019-3</t>
  </si>
  <si>
    <t>SPR000000082131</t>
  </si>
  <si>
    <t>61103019-3 - ALA BASE N.1</t>
  </si>
  <si>
    <t>79602650-2</t>
  </si>
  <si>
    <t>SPR000000082133</t>
  </si>
  <si>
    <t>79602650-2- AGRICOLA UNI-AGRI COPIAPO SPA</t>
  </si>
  <si>
    <t>78793360-2</t>
  </si>
  <si>
    <t>SPR000000082134</t>
  </si>
  <si>
    <t>78793360-2 - Sociedad de Alimentación Casino</t>
  </si>
  <si>
    <t>78295150-5</t>
  </si>
  <si>
    <t>SPR000000082139</t>
  </si>
  <si>
    <t>78295150-5 - Agrícola Llahuen S.A.</t>
  </si>
  <si>
    <t>61219000-3</t>
  </si>
  <si>
    <t>SPR000000082140</t>
  </si>
  <si>
    <t>96529310-8</t>
  </si>
  <si>
    <t>SPR000000082144</t>
  </si>
  <si>
    <t>96529310-8 - CMPC TISSUE S.A.</t>
  </si>
  <si>
    <t>81105000-8</t>
  </si>
  <si>
    <t>SPR000000087248</t>
  </si>
  <si>
    <t>81105000-8 - VILLALBA S.A.</t>
  </si>
  <si>
    <t>91546000-3</t>
  </si>
  <si>
    <t>SPR000000097469</t>
  </si>
  <si>
    <t>91546000-3 - Laboratorio Sanderson S.A.</t>
  </si>
  <si>
    <t>Findings to be evaluated</t>
  </si>
  <si>
    <t>61608502-6</t>
  </si>
  <si>
    <t>SPR000000097849</t>
  </si>
  <si>
    <t>61.608.502-6 - HOSPITAL DR. SOTERO DEL RIO</t>
  </si>
  <si>
    <t>61608204-3</t>
  </si>
  <si>
    <t>SPR000000097852</t>
  </si>
  <si>
    <t>61.608.204-3 - Hospital San Juan de Dios</t>
  </si>
  <si>
    <t>Serious findings that could be a real threat for Enel</t>
  </si>
  <si>
    <t>99024000-0</t>
  </si>
  <si>
    <t>SPR000000098658</t>
  </si>
  <si>
    <t>99024000-0 - MUT CARABINEROS</t>
  </si>
  <si>
    <t>60506000-5</t>
  </si>
  <si>
    <t>SPR000000098665</t>
  </si>
  <si>
    <t>60506000-5 - POLICIA DE INVESTIGACIONES DE CHILE</t>
  </si>
  <si>
    <t>78921690-8</t>
  </si>
  <si>
    <t>SPR000000098717</t>
  </si>
  <si>
    <t>78921690-8 - WOM SPA</t>
  </si>
  <si>
    <t>83382700-6</t>
  </si>
  <si>
    <t>SPR000000099900</t>
  </si>
  <si>
    <t>83382700-6 - COMERCIAL ECCSA S A -</t>
  </si>
  <si>
    <t>92264000-9</t>
  </si>
  <si>
    <t>SPR000000099903</t>
  </si>
  <si>
    <t>92264000-9 - DYNAL INDUSTRIAL S.A.</t>
  </si>
  <si>
    <t>99289000-2</t>
  </si>
  <si>
    <t>SPR000000099917</t>
  </si>
  <si>
    <t>99289000-2 - MetLife Chile Seguros de Vida S.A</t>
  </si>
  <si>
    <t>96530470-3</t>
  </si>
  <si>
    <t>SPR000000099937</t>
  </si>
  <si>
    <t>96530470-3 - CLINICA DAVILA Y SERVICIOS MEDICOS SPA</t>
  </si>
  <si>
    <t>96549050-7</t>
  </si>
  <si>
    <t>SPR000000099939</t>
  </si>
  <si>
    <t>96549050-7 - SEGUROS DE VIDA SURA S.A.</t>
  </si>
  <si>
    <t>76411321-7</t>
  </si>
  <si>
    <t>SPR000000099957</t>
  </si>
  <si>
    <t>76411321-7 - COMPAÑÍA GENERAL DE ELECTRICIDAD S.A.</t>
  </si>
  <si>
    <t>77333033-6</t>
  </si>
  <si>
    <t>SPR000000100124</t>
  </si>
  <si>
    <t>​77333033-6 - Acierta Energía SpA</t>
  </si>
  <si>
    <t>Vigente</t>
  </si>
  <si>
    <t>61975100-0</t>
  </si>
  <si>
    <t>SPR000000102669</t>
  </si>
  <si>
    <t>61975100-0 HOSPITAL PUERTO MONTT SERVICIO DE SALUD DEL RELONCAVI -</t>
  </si>
  <si>
    <t>61608408-9</t>
  </si>
  <si>
    <t>SPR000000102674</t>
  </si>
  <si>
    <t>61608408-9 - SERVICIO DE SALUD ORIENTE HOSPITAL LUIS CALVO MACKENNA -</t>
  </si>
  <si>
    <t>61602236-9</t>
  </si>
  <si>
    <t>SPR000000102675</t>
  </si>
  <si>
    <t>30-56971934-4</t>
  </si>
  <si>
    <t>SPR000000105977</t>
  </si>
  <si>
    <t>30-56971934-4 - Total Austral S.A.</t>
  </si>
  <si>
    <t>61704000-k</t>
  </si>
  <si>
    <t>SPR000000098663</t>
  </si>
  <si>
    <t>61704000-k - CODELCO CHILE</t>
  </si>
  <si>
    <t>76028873-k</t>
  </si>
  <si>
    <t>SPR000000078628</t>
  </si>
  <si>
    <t>76028873-k - Enerbosch</t>
  </si>
  <si>
    <t>76166816-1</t>
  </si>
  <si>
    <t>76630171-1</t>
  </si>
  <si>
    <t>SPR000000083819</t>
  </si>
  <si>
    <t>76630171-1 - EXEQUIEL FERNANDEZ RENTA SPA</t>
  </si>
  <si>
    <t>76821330-5</t>
  </si>
  <si>
    <t>SPR000000078784</t>
  </si>
  <si>
    <t>76821330-5 - IMPERIAL S.A</t>
  </si>
  <si>
    <t>76879310-7</t>
  </si>
  <si>
    <t>SPR000000082748</t>
  </si>
  <si>
    <t xml:space="preserve">84750800-0 - LEVADURAS COLLICO S A </t>
  </si>
  <si>
    <t>77099530-2</t>
  </si>
  <si>
    <t>SPR000000080200</t>
  </si>
  <si>
    <t>77099530-2 - Soc Plasticos tecnicos SpA</t>
  </si>
  <si>
    <t>78408440-K</t>
  </si>
  <si>
    <t>SPR000000071880</t>
  </si>
  <si>
    <t>78408440-K - FAENADOR LO MIRANDA LTDA</t>
  </si>
  <si>
    <t>84750800-0</t>
  </si>
  <si>
    <t>SPR000000023737</t>
  </si>
  <si>
    <t>84750800-0 - LEVADURAS COLLICO S.A.</t>
  </si>
  <si>
    <t>88680500-4</t>
  </si>
  <si>
    <t>SPR000000071881</t>
  </si>
  <si>
    <t>88680500-4 - AGRICOLA SUPER LIMITADA</t>
  </si>
  <si>
    <t>93772000-9</t>
  </si>
  <si>
    <t>SPR000000072978</t>
  </si>
  <si>
    <t>93772000-9 - PRODALAM S.A.</t>
  </si>
  <si>
    <t>96920980-2</t>
  </si>
  <si>
    <t>SPR000000071668</t>
  </si>
  <si>
    <t>96920980-2 - WINPACK S.A.</t>
  </si>
  <si>
    <t>Razón social</t>
  </si>
  <si>
    <t>30-60153481-5 - Wintershall Energía S.A.</t>
  </si>
  <si>
    <t>30-54668997-9 - YPF S.A</t>
  </si>
  <si>
    <t>77107881-8 - Inmobiliaria Rentas Dos SpA</t>
  </si>
  <si>
    <t>96628870-1- INDUSTRIAS PRODUCTOS ALIMENTICIOS SA</t>
  </si>
  <si>
    <t>96698130-K - MAFOR S A</t>
  </si>
  <si>
    <t>96705990-0 - ENVASES CENTRAL S.A</t>
  </si>
  <si>
    <t>96718650-3 - SOC. TORRE CONJUNTA CERRO SAN CRISTOBAL</t>
  </si>
  <si>
    <t>96942440-1 - GESTIÓN VIAL S.A.</t>
  </si>
  <si>
    <t>99548570-2 - SOC CONCESIONARIA AUTOPISTA NORORIENTE S</t>
  </si>
  <si>
    <t>99593350-0 - TANDEM</t>
  </si>
  <si>
    <t>99594530-4 - AGRÍCOLAS LAS CRUZADAS SPA</t>
  </si>
  <si>
    <t>76827288-3 - ATRIA ENERGÍA SpA</t>
  </si>
  <si>
    <t>61219000-3 - EMPRESA DE TRANSPORTE DE PASAJEROS METRO S.A</t>
  </si>
  <si>
    <t>61602236-9 - SERVICIO NACIONAL ARAUCANIA SUR HOSPITAL DR ABRAHAM GODOY PENA LAUTARO</t>
  </si>
  <si>
    <t>PAÍS</t>
  </si>
  <si>
    <t>MUNICIPIO</t>
  </si>
  <si>
    <t>Chile</t>
  </si>
  <si>
    <t>Santiago</t>
  </si>
  <si>
    <t>LOCALIZACIÓN GEOGRÁFICA DE LAS ACTIVIDADES EMPRESARIALES</t>
  </si>
  <si>
    <t>PROCESO DE NEGOCIO</t>
  </si>
  <si>
    <t>PRIORIDAD</t>
  </si>
  <si>
    <t>SOCIEDAD DEL GRUPO ENEL QUE MANTENDRÁ RELACIONES CON LA CONTRAPARTE OBJETO DEL ANÁLISIS</t>
  </si>
  <si>
    <t>Global Energy and Commodity Management and Chief Pricing Officer - Risk Management</t>
  </si>
  <si>
    <t>Standard (15 días laborales)</t>
  </si>
  <si>
    <t>Enel Generación Chile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</si>
</sst>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3A4A6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2" fillId="4" borderId="0" xfId="0" applyFont="1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nelcom.sharepoint.com/sites/BackOfficeChile/Documentos%20compartidos/PROCESOS,%20RIESGO%20DE%20CREDITO%20Y%20SISTEMAS/GESTION%20DE%20CONTRAPARTES%20Y%20PROCESOS/10.%20Respaldo%20Clientes/Actualizaci&#243;n%20Base%20Clientes/Base%20Clientes_Consolidada.xlsx" TargetMode="External"/><Relationship Id="rId2" Type="http://schemas.microsoft.com/office/2019/04/relationships/externalLinkLongPath" Target="https://enelcom.sharepoint.com/sites/BackOfficeChile/Documentos%20compartidos/PROCESOS,%20RIESGO%20DE%20CREDITO%20Y%20SISTEMAS/GESTION%20DE%20CONTRAPARTES%20Y%20PROCESOS/10.%20Respaldo%20Clientes/Actualizaci&#243;n%20Base%20Clientes/Base%20Clientes_Consolidada.xlsx?D05012B7" TargetMode="External"/><Relationship Id="rId1" Type="http://schemas.openxmlformats.org/officeDocument/2006/relationships/externalLinkPath" Target="file:///\\D05012B7\Base%20Clientes_Consolid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xcepciones"/>
      <sheetName val="Base clientes"/>
      <sheetName val="Hoja1"/>
      <sheetName val="Base clientes (2)"/>
      <sheetName val="Base Clientes_Consolidada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E282-2551-439C-8D08-095198BE3D9A}">
  <dimension ref="A1:O114"/>
  <sheetViews>
    <sheetView tabSelected="1" topLeftCell="G1" workbookViewId="0">
      <selection activeCell="J2" sqref="J2"/>
    </sheetView>
  </sheetViews>
  <sheetFormatPr baseColWidth="10" defaultRowHeight="14.5" outlineLevelCol="1" x14ac:dyDescent="0.35"/>
  <cols>
    <col min="1" max="1" width="13.08984375" bestFit="1" customWidth="1"/>
    <col min="2" max="2" width="15.90625" customWidth="1" outlineLevel="1"/>
    <col min="3" max="3" width="85.26953125" customWidth="1" outlineLevel="1"/>
    <col min="4" max="6" width="85.26953125" customWidth="1"/>
    <col min="7" max="7" width="10.90625" customWidth="1" outlineLevel="1"/>
    <col min="8" max="8" width="43.36328125" customWidth="1" outlineLevel="1"/>
    <col min="9" max="11" width="10.90625" customWidth="1" outlineLevel="1"/>
    <col min="13" max="13" width="75.36328125" bestFit="1" customWidth="1"/>
    <col min="14" max="14" width="24.1796875" bestFit="1" customWidth="1"/>
    <col min="15" max="15" width="89.453125" bestFit="1" customWidth="1"/>
  </cols>
  <sheetData>
    <row r="1" spans="1:15" x14ac:dyDescent="0.35">
      <c r="A1" s="7" t="s">
        <v>0</v>
      </c>
      <c r="B1" s="1" t="s">
        <v>1</v>
      </c>
      <c r="C1" s="1" t="s">
        <v>2</v>
      </c>
      <c r="D1" s="8" t="s">
        <v>336</v>
      </c>
      <c r="E1" s="9" t="s">
        <v>351</v>
      </c>
      <c r="F1" s="9" t="s">
        <v>352</v>
      </c>
      <c r="G1" s="2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9" t="s">
        <v>355</v>
      </c>
      <c r="M1" s="10" t="s">
        <v>356</v>
      </c>
      <c r="N1" s="9" t="s">
        <v>357</v>
      </c>
      <c r="O1" s="10" t="s">
        <v>358</v>
      </c>
    </row>
    <row r="2" spans="1:15" x14ac:dyDescent="0.35">
      <c r="A2" s="3" t="s">
        <v>8</v>
      </c>
      <c r="B2" s="4" t="s">
        <v>9</v>
      </c>
      <c r="C2" s="4" t="s">
        <v>10</v>
      </c>
      <c r="D2" s="4" t="str">
        <f>VLOOKUP(A2,[1]!Base_clientes[[#All],[RUT]:[Razon social]],7,0)</f>
        <v>CERVECERÍA CHILE S.A.</v>
      </c>
      <c r="E2" s="4" t="s">
        <v>353</v>
      </c>
      <c r="F2" s="4" t="s">
        <v>354</v>
      </c>
      <c r="G2" s="5">
        <v>45756</v>
      </c>
      <c r="H2" s="4" t="s">
        <v>11</v>
      </c>
      <c r="I2" s="5">
        <v>45764</v>
      </c>
      <c r="J2" s="5">
        <v>46129</v>
      </c>
      <c r="K2" s="4" t="s">
        <v>12</v>
      </c>
      <c r="L2" s="4" t="s">
        <v>353</v>
      </c>
      <c r="M2" s="4" t="s">
        <v>359</v>
      </c>
      <c r="N2" s="4" t="s">
        <v>360</v>
      </c>
      <c r="O2" s="4" t="s">
        <v>361</v>
      </c>
    </row>
    <row r="3" spans="1:15" x14ac:dyDescent="0.35">
      <c r="A3" s="3" t="s">
        <v>13</v>
      </c>
      <c r="B3" s="4" t="s">
        <v>14</v>
      </c>
      <c r="C3" s="4" t="s">
        <v>15</v>
      </c>
      <c r="D3" s="4" t="str">
        <f>VLOOKUP(A3,[1]!Base_clientes[[#All],[RUT]:[Razon social]],7,0)</f>
        <v>INSTITUTO SANITAS S.A.</v>
      </c>
      <c r="E3" s="4" t="s">
        <v>353</v>
      </c>
      <c r="F3" s="4" t="s">
        <v>354</v>
      </c>
      <c r="G3" s="5">
        <v>45756</v>
      </c>
      <c r="H3" s="4" t="s">
        <v>11</v>
      </c>
      <c r="I3" s="5">
        <v>45762</v>
      </c>
      <c r="J3" s="5">
        <v>46127</v>
      </c>
      <c r="K3" s="4" t="s">
        <v>12</v>
      </c>
      <c r="L3" s="4" t="s">
        <v>353</v>
      </c>
      <c r="M3" s="4" t="s">
        <v>359</v>
      </c>
      <c r="N3" s="4" t="s">
        <v>360</v>
      </c>
      <c r="O3" s="4" t="s">
        <v>361</v>
      </c>
    </row>
    <row r="4" spans="1:15" x14ac:dyDescent="0.35">
      <c r="A4" s="3" t="s">
        <v>16</v>
      </c>
      <c r="B4" s="4" t="s">
        <v>17</v>
      </c>
      <c r="C4" s="4" t="s">
        <v>18</v>
      </c>
      <c r="D4" s="4" t="str">
        <f>VLOOKUP(A4,[1]!Base_clientes[[#All],[RUT]:[Razon social]],7,0)</f>
        <v>CLUB HIPICO DE SANTIAGO S.A.</v>
      </c>
      <c r="E4" s="4" t="s">
        <v>353</v>
      </c>
      <c r="F4" s="4" t="s">
        <v>354</v>
      </c>
      <c r="G4" s="5">
        <v>45756</v>
      </c>
      <c r="H4" s="4" t="s">
        <v>11</v>
      </c>
      <c r="I4" s="5">
        <v>45762</v>
      </c>
      <c r="J4" s="5">
        <v>46127</v>
      </c>
      <c r="K4" s="4" t="s">
        <v>12</v>
      </c>
      <c r="L4" s="4" t="s">
        <v>353</v>
      </c>
      <c r="M4" s="4" t="s">
        <v>359</v>
      </c>
      <c r="N4" s="4" t="s">
        <v>360</v>
      </c>
      <c r="O4" s="4" t="s">
        <v>361</v>
      </c>
    </row>
    <row r="5" spans="1:15" x14ac:dyDescent="0.35">
      <c r="A5" s="3" t="s">
        <v>19</v>
      </c>
      <c r="B5" s="4" t="s">
        <v>20</v>
      </c>
      <c r="C5" s="4" t="s">
        <v>21</v>
      </c>
      <c r="D5" s="4" t="str">
        <f>VLOOKUP(A5,[1]!Base_clientes[[#All],[RUT]:[Razon social]],7,0)</f>
        <v>VIDRIOS LIRQUEN S.A.</v>
      </c>
      <c r="E5" s="4" t="s">
        <v>353</v>
      </c>
      <c r="F5" s="4" t="s">
        <v>354</v>
      </c>
      <c r="G5" s="5">
        <v>45756</v>
      </c>
      <c r="H5" s="4" t="s">
        <v>11</v>
      </c>
      <c r="I5" s="5">
        <v>45762</v>
      </c>
      <c r="J5" s="5">
        <v>46127</v>
      </c>
      <c r="K5" s="4" t="s">
        <v>12</v>
      </c>
      <c r="L5" s="4" t="s">
        <v>353</v>
      </c>
      <c r="M5" s="4" t="s">
        <v>359</v>
      </c>
      <c r="N5" s="4" t="s">
        <v>360</v>
      </c>
      <c r="O5" s="4" t="s">
        <v>361</v>
      </c>
    </row>
    <row r="6" spans="1:15" x14ac:dyDescent="0.35">
      <c r="A6" s="3" t="s">
        <v>22</v>
      </c>
      <c r="B6" s="4" t="s">
        <v>23</v>
      </c>
      <c r="C6" s="4" t="s">
        <v>24</v>
      </c>
      <c r="D6" s="4" t="str">
        <f>VLOOKUP(A6,[1]!Base_clientes[[#All],[RUT]:[Razon social]],7,0)</f>
        <v>FINNING CHILE S.A.</v>
      </c>
      <c r="E6" s="4" t="s">
        <v>353</v>
      </c>
      <c r="F6" s="4" t="s">
        <v>354</v>
      </c>
      <c r="G6" s="5">
        <v>45756</v>
      </c>
      <c r="H6" s="4" t="s">
        <v>11</v>
      </c>
      <c r="I6" s="5">
        <v>45762</v>
      </c>
      <c r="J6" s="5">
        <v>46127</v>
      </c>
      <c r="K6" s="4" t="s">
        <v>12</v>
      </c>
      <c r="L6" s="4" t="s">
        <v>353</v>
      </c>
      <c r="M6" s="4" t="s">
        <v>359</v>
      </c>
      <c r="N6" s="4" t="s">
        <v>360</v>
      </c>
      <c r="O6" s="4" t="s">
        <v>361</v>
      </c>
    </row>
    <row r="7" spans="1:15" x14ac:dyDescent="0.35">
      <c r="A7" s="3" t="s">
        <v>25</v>
      </c>
      <c r="B7" s="4" t="s">
        <v>26</v>
      </c>
      <c r="C7" s="4" t="s">
        <v>27</v>
      </c>
      <c r="D7" s="4" t="str">
        <f>VLOOKUP(A7,[1]!Base_clientes[[#All],[RUT]:[Razon social]],7,0)</f>
        <v>INVERSIONES COT SPA</v>
      </c>
      <c r="E7" s="4" t="s">
        <v>353</v>
      </c>
      <c r="F7" s="4" t="s">
        <v>354</v>
      </c>
      <c r="G7" s="5">
        <v>45757</v>
      </c>
      <c r="H7" s="4" t="s">
        <v>11</v>
      </c>
      <c r="I7" s="5">
        <v>45762</v>
      </c>
      <c r="J7" s="5">
        <v>46127</v>
      </c>
      <c r="K7" s="4" t="s">
        <v>12</v>
      </c>
      <c r="L7" s="4" t="s">
        <v>353</v>
      </c>
      <c r="M7" s="4" t="s">
        <v>359</v>
      </c>
      <c r="N7" s="4" t="s">
        <v>360</v>
      </c>
      <c r="O7" s="4" t="s">
        <v>361</v>
      </c>
    </row>
    <row r="8" spans="1:15" x14ac:dyDescent="0.35">
      <c r="A8" s="3" t="s">
        <v>28</v>
      </c>
      <c r="B8" s="4" t="s">
        <v>29</v>
      </c>
      <c r="C8" s="4" t="s">
        <v>30</v>
      </c>
      <c r="D8" s="4" t="str">
        <f>VLOOKUP(A8,[1]!Base_clientes[[#All],[RUT]:[Razon social]],7,0)</f>
        <v>COMERCIAL LBF LIMITADA</v>
      </c>
      <c r="E8" s="4" t="s">
        <v>353</v>
      </c>
      <c r="F8" s="4" t="s">
        <v>354</v>
      </c>
      <c r="G8" s="5">
        <v>45758</v>
      </c>
      <c r="H8" s="4" t="s">
        <v>11</v>
      </c>
      <c r="I8" s="5">
        <v>45762</v>
      </c>
      <c r="J8" s="5">
        <v>46127</v>
      </c>
      <c r="K8" s="4" t="s">
        <v>12</v>
      </c>
      <c r="L8" s="4" t="s">
        <v>353</v>
      </c>
      <c r="M8" s="4" t="s">
        <v>359</v>
      </c>
      <c r="N8" s="4" t="s">
        <v>360</v>
      </c>
      <c r="O8" s="4" t="s">
        <v>361</v>
      </c>
    </row>
    <row r="9" spans="1:15" x14ac:dyDescent="0.35">
      <c r="A9" s="3" t="s">
        <v>31</v>
      </c>
      <c r="B9" s="4" t="s">
        <v>32</v>
      </c>
      <c r="C9" s="4" t="s">
        <v>33</v>
      </c>
      <c r="D9" s="4" t="str">
        <f>VLOOKUP(A9,[1]!Base_clientes[[#All],[RUT]:[Razon social]],7,0)</f>
        <v>COMERCIAL EL REMANSO S.A.</v>
      </c>
      <c r="E9" s="4" t="s">
        <v>353</v>
      </c>
      <c r="F9" s="4" t="s">
        <v>354</v>
      </c>
      <c r="G9" s="5">
        <v>45758</v>
      </c>
      <c r="H9" s="4" t="s">
        <v>11</v>
      </c>
      <c r="I9" s="5">
        <v>45762</v>
      </c>
      <c r="J9" s="5">
        <v>46127</v>
      </c>
      <c r="K9" s="4" t="s">
        <v>12</v>
      </c>
      <c r="L9" s="4" t="s">
        <v>353</v>
      </c>
      <c r="M9" s="4" t="s">
        <v>359</v>
      </c>
      <c r="N9" s="4" t="s">
        <v>360</v>
      </c>
      <c r="O9" s="4" t="s">
        <v>361</v>
      </c>
    </row>
    <row r="10" spans="1:15" x14ac:dyDescent="0.35">
      <c r="A10" s="6" t="s">
        <v>34</v>
      </c>
      <c r="B10" s="4" t="s">
        <v>35</v>
      </c>
      <c r="C10" s="4" t="s">
        <v>36</v>
      </c>
      <c r="D10" s="4" t="str">
        <f>VLOOKUP(A10,[1]!Base_clientes[[#All],[RUT]:[Razon social]],7,0)</f>
        <v>CONTENEDORES SAN FERNANDO SPA.</v>
      </c>
      <c r="E10" s="4" t="s">
        <v>353</v>
      </c>
      <c r="F10" s="4" t="s">
        <v>354</v>
      </c>
      <c r="G10" s="5">
        <v>45758</v>
      </c>
      <c r="H10" s="4" t="s">
        <v>11</v>
      </c>
      <c r="I10" s="5">
        <v>45762</v>
      </c>
      <c r="J10" s="5">
        <v>46127</v>
      </c>
      <c r="K10" s="4" t="s">
        <v>12</v>
      </c>
      <c r="L10" s="4" t="s">
        <v>353</v>
      </c>
      <c r="M10" s="4" t="s">
        <v>359</v>
      </c>
      <c r="N10" s="4" t="s">
        <v>360</v>
      </c>
      <c r="O10" s="4" t="s">
        <v>361</v>
      </c>
    </row>
    <row r="11" spans="1:15" x14ac:dyDescent="0.35">
      <c r="A11" s="3" t="s">
        <v>37</v>
      </c>
      <c r="B11" s="4" t="s">
        <v>38</v>
      </c>
      <c r="C11" s="4" t="s">
        <v>39</v>
      </c>
      <c r="D11" s="4" t="str">
        <f>VLOOKUP(A11,[1]!Base_clientes[[#All],[RUT]:[Razon social]],7,0)</f>
        <v>TINTORERIA INDUST. PEDRO DE VALDIVIA S.A.</v>
      </c>
      <c r="E11" s="4" t="s">
        <v>353</v>
      </c>
      <c r="F11" s="4" t="s">
        <v>354</v>
      </c>
      <c r="G11" s="5">
        <v>45758</v>
      </c>
      <c r="H11" s="4" t="s">
        <v>11</v>
      </c>
      <c r="I11" s="5">
        <v>45762</v>
      </c>
      <c r="J11" s="5">
        <v>46127</v>
      </c>
      <c r="K11" s="4" t="s">
        <v>12</v>
      </c>
      <c r="L11" s="4" t="s">
        <v>353</v>
      </c>
      <c r="M11" s="4" t="s">
        <v>359</v>
      </c>
      <c r="N11" s="4" t="s">
        <v>360</v>
      </c>
      <c r="O11" s="4" t="s">
        <v>361</v>
      </c>
    </row>
    <row r="12" spans="1:15" x14ac:dyDescent="0.35">
      <c r="A12" s="3" t="s">
        <v>40</v>
      </c>
      <c r="B12" s="4" t="s">
        <v>41</v>
      </c>
      <c r="C12" s="4" t="s">
        <v>42</v>
      </c>
      <c r="D12" s="4" t="str">
        <f>VLOOKUP(A12,[1]!Base_clientes[[#All],[RUT]:[Razon social]],7,0)</f>
        <v>TRAVERSO</v>
      </c>
      <c r="E12" s="4" t="s">
        <v>353</v>
      </c>
      <c r="F12" s="4" t="s">
        <v>354</v>
      </c>
      <c r="G12" s="5">
        <v>45758</v>
      </c>
      <c r="H12" s="4" t="s">
        <v>11</v>
      </c>
      <c r="I12" s="5">
        <v>45762</v>
      </c>
      <c r="J12" s="5">
        <v>46127</v>
      </c>
      <c r="K12" s="4" t="s">
        <v>12</v>
      </c>
      <c r="L12" s="4" t="s">
        <v>353</v>
      </c>
      <c r="M12" s="4" t="s">
        <v>359</v>
      </c>
      <c r="N12" s="4" t="s">
        <v>360</v>
      </c>
      <c r="O12" s="4" t="s">
        <v>361</v>
      </c>
    </row>
    <row r="13" spans="1:15" x14ac:dyDescent="0.35">
      <c r="A13" s="3" t="s">
        <v>43</v>
      </c>
      <c r="B13" s="4" t="s">
        <v>44</v>
      </c>
      <c r="C13" s="4" t="s">
        <v>45</v>
      </c>
      <c r="D13" s="4" t="str">
        <f>VLOOKUP(A13,[1]!Base_clientes[[#All],[RUT]:[Razon social]],7,0)</f>
        <v>EMPRESAS BIOSUR SPA</v>
      </c>
      <c r="E13" s="4" t="s">
        <v>353</v>
      </c>
      <c r="F13" s="4" t="s">
        <v>354</v>
      </c>
      <c r="G13" s="5">
        <v>45758</v>
      </c>
      <c r="H13" s="4" t="s">
        <v>11</v>
      </c>
      <c r="I13" s="5">
        <v>45762</v>
      </c>
      <c r="J13" s="5">
        <v>46127</v>
      </c>
      <c r="K13" s="4" t="s">
        <v>12</v>
      </c>
      <c r="L13" s="4" t="s">
        <v>353</v>
      </c>
      <c r="M13" s="4" t="s">
        <v>359</v>
      </c>
      <c r="N13" s="4" t="s">
        <v>360</v>
      </c>
      <c r="O13" s="4" t="s">
        <v>361</v>
      </c>
    </row>
    <row r="14" spans="1:15" x14ac:dyDescent="0.35">
      <c r="A14" s="3" t="s">
        <v>46</v>
      </c>
      <c r="B14" s="4" t="s">
        <v>47</v>
      </c>
      <c r="C14" s="4" t="s">
        <v>48</v>
      </c>
      <c r="D14" s="4" t="str">
        <f>VLOOKUP(A14,[1]!Base_clientes[[#All],[RUT]:[Razon social]],7,0)</f>
        <v>COMERCIAL CHAU S.A.</v>
      </c>
      <c r="E14" s="4" t="s">
        <v>353</v>
      </c>
      <c r="F14" s="4" t="s">
        <v>354</v>
      </c>
      <c r="G14" s="5">
        <v>45758</v>
      </c>
      <c r="H14" s="4" t="s">
        <v>11</v>
      </c>
      <c r="I14" s="5">
        <v>45775</v>
      </c>
      <c r="J14" s="5">
        <v>46140</v>
      </c>
      <c r="K14" s="4" t="s">
        <v>12</v>
      </c>
      <c r="L14" s="4" t="s">
        <v>353</v>
      </c>
      <c r="M14" s="4" t="s">
        <v>359</v>
      </c>
      <c r="N14" s="4" t="s">
        <v>360</v>
      </c>
      <c r="O14" s="4" t="s">
        <v>361</v>
      </c>
    </row>
    <row r="15" spans="1:15" x14ac:dyDescent="0.35">
      <c r="A15" s="3" t="s">
        <v>49</v>
      </c>
      <c r="B15" s="4" t="s">
        <v>50</v>
      </c>
      <c r="C15" s="4" t="s">
        <v>51</v>
      </c>
      <c r="D15" s="4" t="str">
        <f>VLOOKUP(A15,[1]!Base_clientes[[#All],[RUT]:[Razon social]],7,0)</f>
        <v>AGRÍCOLA EL QUILLAY LTDA.</v>
      </c>
      <c r="E15" s="4" t="s">
        <v>353</v>
      </c>
      <c r="F15" s="4" t="s">
        <v>354</v>
      </c>
      <c r="G15" s="5">
        <v>45769</v>
      </c>
      <c r="H15" s="4" t="s">
        <v>11</v>
      </c>
      <c r="I15" s="5">
        <v>45775</v>
      </c>
      <c r="J15" s="5">
        <v>46140</v>
      </c>
      <c r="K15" s="4" t="s">
        <v>12</v>
      </c>
      <c r="L15" s="4" t="s">
        <v>353</v>
      </c>
      <c r="M15" s="4" t="s">
        <v>359</v>
      </c>
      <c r="N15" s="4" t="s">
        <v>360</v>
      </c>
      <c r="O15" s="4" t="s">
        <v>361</v>
      </c>
    </row>
    <row r="16" spans="1:15" x14ac:dyDescent="0.35">
      <c r="A16" s="3" t="s">
        <v>52</v>
      </c>
      <c r="B16" s="4" t="s">
        <v>53</v>
      </c>
      <c r="C16" s="4" t="s">
        <v>54</v>
      </c>
      <c r="D16" s="4" t="str">
        <f>VLOOKUP(A16,[1]!Base_clientes[[#All],[RUT]:[Razon social]],7,0)</f>
        <v>INMOBILIARIA E INVERSIONES MAR DE CHILE SPA</v>
      </c>
      <c r="E16" s="4" t="s">
        <v>353</v>
      </c>
      <c r="F16" s="4" t="s">
        <v>354</v>
      </c>
      <c r="G16" s="5">
        <v>45776</v>
      </c>
      <c r="H16" s="4" t="s">
        <v>11</v>
      </c>
      <c r="I16" s="5">
        <v>45779</v>
      </c>
      <c r="J16" s="5">
        <v>46144</v>
      </c>
      <c r="K16" s="4" t="s">
        <v>12</v>
      </c>
      <c r="L16" s="4" t="s">
        <v>353</v>
      </c>
      <c r="M16" s="4" t="s">
        <v>359</v>
      </c>
      <c r="N16" s="4" t="s">
        <v>360</v>
      </c>
      <c r="O16" s="4" t="s">
        <v>361</v>
      </c>
    </row>
    <row r="17" spans="1:15" x14ac:dyDescent="0.35">
      <c r="A17" s="3" t="s">
        <v>55</v>
      </c>
      <c r="B17" s="4" t="s">
        <v>56</v>
      </c>
      <c r="C17" s="4" t="s">
        <v>57</v>
      </c>
      <c r="D17" s="4" t="str">
        <f>VLOOKUP(A17,[1]!Base_clientes[[#All],[RUT]:[Razon social]],7,0)</f>
        <v>AGUAS DEL VALLE S.A.</v>
      </c>
      <c r="E17" s="4" t="s">
        <v>353</v>
      </c>
      <c r="F17" s="4" t="s">
        <v>354</v>
      </c>
      <c r="G17" s="5">
        <v>45783</v>
      </c>
      <c r="H17" s="4" t="s">
        <v>11</v>
      </c>
      <c r="I17" s="5">
        <v>45796</v>
      </c>
      <c r="J17" s="5">
        <v>46161</v>
      </c>
      <c r="K17" s="4" t="s">
        <v>12</v>
      </c>
      <c r="L17" s="4" t="s">
        <v>353</v>
      </c>
      <c r="M17" s="4" t="s">
        <v>359</v>
      </c>
      <c r="N17" s="4" t="s">
        <v>360</v>
      </c>
      <c r="O17" s="4" t="s">
        <v>361</v>
      </c>
    </row>
    <row r="18" spans="1:15" x14ac:dyDescent="0.35">
      <c r="A18" s="3" t="s">
        <v>58</v>
      </c>
      <c r="B18" s="4" t="s">
        <v>59</v>
      </c>
      <c r="C18" s="4" t="s">
        <v>60</v>
      </c>
      <c r="D18" s="4" t="str">
        <f>VLOOKUP(A18,[1]!Base_clientes[[#All],[RUT]:[Razon social]],7,0)</f>
        <v>AGRICOLA Y SERVICIOS HACIENDA CHACABUCO S A</v>
      </c>
      <c r="E18" s="4" t="s">
        <v>353</v>
      </c>
      <c r="F18" s="4" t="s">
        <v>354</v>
      </c>
      <c r="G18" s="5">
        <v>45783</v>
      </c>
      <c r="H18" s="4" t="s">
        <v>11</v>
      </c>
      <c r="I18" s="5">
        <v>45789</v>
      </c>
      <c r="J18" s="5">
        <v>46154</v>
      </c>
      <c r="K18" s="4" t="s">
        <v>12</v>
      </c>
      <c r="L18" s="4" t="s">
        <v>353</v>
      </c>
      <c r="M18" s="4" t="s">
        <v>359</v>
      </c>
      <c r="N18" s="4" t="s">
        <v>360</v>
      </c>
      <c r="O18" s="4" t="s">
        <v>361</v>
      </c>
    </row>
    <row r="19" spans="1:15" x14ac:dyDescent="0.35">
      <c r="A19" s="3" t="s">
        <v>61</v>
      </c>
      <c r="B19" s="4" t="s">
        <v>62</v>
      </c>
      <c r="C19" s="4" t="s">
        <v>63</v>
      </c>
      <c r="D19" s="4" t="str">
        <f>VLOOKUP(A19,[1]!Base_clientes[[#All],[RUT]:[Razon social]],7,0)</f>
        <v>VOY SANTIAGO 14 SPA.</v>
      </c>
      <c r="E19" s="4" t="s">
        <v>353</v>
      </c>
      <c r="F19" s="4" t="s">
        <v>354</v>
      </c>
      <c r="G19" s="5">
        <v>45786</v>
      </c>
      <c r="H19" s="4" t="s">
        <v>11</v>
      </c>
      <c r="I19" s="5">
        <v>45796</v>
      </c>
      <c r="J19" s="5">
        <v>46161</v>
      </c>
      <c r="K19" s="4" t="s">
        <v>12</v>
      </c>
      <c r="L19" s="4" t="s">
        <v>353</v>
      </c>
      <c r="M19" s="4" t="s">
        <v>359</v>
      </c>
      <c r="N19" s="4" t="s">
        <v>360</v>
      </c>
      <c r="O19" s="4" t="s">
        <v>361</v>
      </c>
    </row>
    <row r="20" spans="1:15" x14ac:dyDescent="0.35">
      <c r="A20" s="3" t="s">
        <v>64</v>
      </c>
      <c r="B20" s="4" t="s">
        <v>65</v>
      </c>
      <c r="C20" s="4" t="s">
        <v>66</v>
      </c>
      <c r="D20" s="4" t="str">
        <f>VLOOKUP(A20,[1]!Base_clientes[[#All],[RUT]:[Razon social]],7,0)</f>
        <v>EMPRESAS JORDAN S.A.</v>
      </c>
      <c r="E20" s="4" t="s">
        <v>353</v>
      </c>
      <c r="F20" s="4" t="s">
        <v>354</v>
      </c>
      <c r="G20" s="5">
        <v>45799</v>
      </c>
      <c r="H20" s="4" t="s">
        <v>11</v>
      </c>
      <c r="I20" s="5">
        <v>45812</v>
      </c>
      <c r="J20" s="5">
        <v>46177</v>
      </c>
      <c r="K20" s="4" t="s">
        <v>12</v>
      </c>
      <c r="L20" s="4" t="s">
        <v>353</v>
      </c>
      <c r="M20" s="4" t="s">
        <v>359</v>
      </c>
      <c r="N20" s="4" t="s">
        <v>360</v>
      </c>
      <c r="O20" s="4" t="s">
        <v>361</v>
      </c>
    </row>
    <row r="21" spans="1:15" x14ac:dyDescent="0.35">
      <c r="A21" s="3" t="s">
        <v>67</v>
      </c>
      <c r="B21" s="4" t="s">
        <v>68</v>
      </c>
      <c r="C21" s="4" t="s">
        <v>69</v>
      </c>
      <c r="D21" s="4" t="str">
        <f>VLOOKUP(A21,[1]!Base_clientes[[#All],[RUT]:[Razon social]],7,0)</f>
        <v>THE GRANGE SCHOOL S.A.</v>
      </c>
      <c r="E21" s="4" t="s">
        <v>353</v>
      </c>
      <c r="F21" s="4" t="s">
        <v>354</v>
      </c>
      <c r="G21" s="5">
        <v>45799</v>
      </c>
      <c r="H21" s="4" t="s">
        <v>11</v>
      </c>
      <c r="I21" s="5">
        <v>45812</v>
      </c>
      <c r="J21" s="5">
        <v>46177</v>
      </c>
      <c r="K21" s="4" t="s">
        <v>12</v>
      </c>
      <c r="L21" s="4" t="s">
        <v>353</v>
      </c>
      <c r="M21" s="4" t="s">
        <v>359</v>
      </c>
      <c r="N21" s="4" t="s">
        <v>360</v>
      </c>
      <c r="O21" s="4" t="s">
        <v>361</v>
      </c>
    </row>
    <row r="22" spans="1:15" x14ac:dyDescent="0.35">
      <c r="A22" s="3" t="s">
        <v>70</v>
      </c>
      <c r="B22" s="4" t="s">
        <v>71</v>
      </c>
      <c r="C22" s="4" t="s">
        <v>72</v>
      </c>
      <c r="D22" s="4" t="str">
        <f>VLOOKUP(A22,[1]!Base_clientes[[#All],[RUT]:[Razon social]],7,0)</f>
        <v>INMOBILIARIA RENTAS SOUPER SPA.</v>
      </c>
      <c r="E22" s="4" t="s">
        <v>353</v>
      </c>
      <c r="F22" s="4" t="s">
        <v>354</v>
      </c>
      <c r="G22" s="5">
        <v>45799</v>
      </c>
      <c r="H22" s="4" t="s">
        <v>11</v>
      </c>
      <c r="I22" s="5">
        <v>45800</v>
      </c>
      <c r="J22" s="5">
        <v>46165</v>
      </c>
      <c r="K22" s="4" t="s">
        <v>12</v>
      </c>
      <c r="L22" s="4" t="s">
        <v>353</v>
      </c>
      <c r="M22" s="4" t="s">
        <v>359</v>
      </c>
      <c r="N22" s="4" t="s">
        <v>360</v>
      </c>
      <c r="O22" s="4" t="s">
        <v>361</v>
      </c>
    </row>
    <row r="23" spans="1:15" x14ac:dyDescent="0.35">
      <c r="A23" s="3" t="s">
        <v>73</v>
      </c>
      <c r="B23" s="4" t="s">
        <v>74</v>
      </c>
      <c r="C23" s="4" t="s">
        <v>75</v>
      </c>
      <c r="D23" s="4" t="str">
        <f>VLOOKUP(A23,[1]!Base_clientes[[#All],[RUT]:[Razon social]],7,0)</f>
        <v>TERRITORIA  SANTA ROSA SPA</v>
      </c>
      <c r="E23" s="4" t="s">
        <v>353</v>
      </c>
      <c r="F23" s="4" t="s">
        <v>354</v>
      </c>
      <c r="G23" s="5">
        <v>45799</v>
      </c>
      <c r="H23" s="4" t="s">
        <v>11</v>
      </c>
      <c r="I23" s="5">
        <v>45800</v>
      </c>
      <c r="J23" s="5">
        <v>46165</v>
      </c>
      <c r="K23" s="4" t="s">
        <v>12</v>
      </c>
      <c r="L23" s="4" t="s">
        <v>353</v>
      </c>
      <c r="M23" s="4" t="s">
        <v>359</v>
      </c>
      <c r="N23" s="4" t="s">
        <v>360</v>
      </c>
      <c r="O23" s="4" t="s">
        <v>361</v>
      </c>
    </row>
    <row r="24" spans="1:15" x14ac:dyDescent="0.35">
      <c r="A24" s="3" t="s">
        <v>76</v>
      </c>
      <c r="B24" s="4" t="s">
        <v>77</v>
      </c>
      <c r="C24" s="4" t="s">
        <v>78</v>
      </c>
      <c r="D24" s="4" t="str">
        <f>VLOOKUP(A24,[1]!Base_clientes[[#All],[RUT]:[Razon social]],7,0)</f>
        <v>Arcadia Generación Solar</v>
      </c>
      <c r="E24" s="4" t="s">
        <v>353</v>
      </c>
      <c r="F24" s="4" t="s">
        <v>354</v>
      </c>
      <c r="G24" s="5">
        <v>45799</v>
      </c>
      <c r="H24" s="4" t="s">
        <v>11</v>
      </c>
      <c r="I24" s="5">
        <v>45800</v>
      </c>
      <c r="J24" s="5">
        <v>46165</v>
      </c>
      <c r="K24" s="4" t="s">
        <v>12</v>
      </c>
      <c r="L24" s="4" t="s">
        <v>353</v>
      </c>
      <c r="M24" s="4" t="s">
        <v>359</v>
      </c>
      <c r="N24" s="4" t="s">
        <v>360</v>
      </c>
      <c r="O24" s="4" t="s">
        <v>361</v>
      </c>
    </row>
    <row r="25" spans="1:15" x14ac:dyDescent="0.35">
      <c r="A25" s="3" t="s">
        <v>79</v>
      </c>
      <c r="B25" s="4" t="s">
        <v>80</v>
      </c>
      <c r="C25" s="4" t="s">
        <v>337</v>
      </c>
      <c r="D25" s="4" t="str">
        <f>VLOOKUP(A25,[1]!Base_clientes[[#All],[RUT]:[Razon social]],7,0)</f>
        <v>Wintershall Dea Argentina S.A.</v>
      </c>
      <c r="E25" s="4" t="s">
        <v>353</v>
      </c>
      <c r="F25" s="4" t="s">
        <v>354</v>
      </c>
      <c r="G25" s="5">
        <v>45799</v>
      </c>
      <c r="H25" s="4" t="s">
        <v>11</v>
      </c>
      <c r="I25" s="5">
        <v>45813</v>
      </c>
      <c r="J25" s="5">
        <v>46178</v>
      </c>
      <c r="K25" s="4" t="s">
        <v>12</v>
      </c>
      <c r="L25" s="4" t="s">
        <v>353</v>
      </c>
      <c r="M25" s="4" t="s">
        <v>359</v>
      </c>
      <c r="N25" s="4" t="s">
        <v>360</v>
      </c>
      <c r="O25" s="4" t="s">
        <v>361</v>
      </c>
    </row>
    <row r="26" spans="1:15" x14ac:dyDescent="0.35">
      <c r="A26" s="3" t="s">
        <v>81</v>
      </c>
      <c r="B26" s="4" t="s">
        <v>82</v>
      </c>
      <c r="C26" s="4" t="s">
        <v>83</v>
      </c>
      <c r="D26" s="4" t="str">
        <f>VLOOKUP(A26,[1]!Base_clientes[[#All],[RUT]:[Razon social]],7,0)</f>
        <v>EDIFICIO APOQUINDO LAS CONDES</v>
      </c>
      <c r="E26" s="4" t="s">
        <v>353</v>
      </c>
      <c r="F26" s="4" t="s">
        <v>354</v>
      </c>
      <c r="G26" s="5">
        <v>45799</v>
      </c>
      <c r="H26" s="4" t="s">
        <v>11</v>
      </c>
      <c r="I26" s="5">
        <v>45800</v>
      </c>
      <c r="J26" s="5">
        <v>46165</v>
      </c>
      <c r="K26" s="4" t="s">
        <v>12</v>
      </c>
      <c r="L26" s="4" t="s">
        <v>353</v>
      </c>
      <c r="M26" s="4" t="s">
        <v>359</v>
      </c>
      <c r="N26" s="4" t="s">
        <v>360</v>
      </c>
      <c r="O26" s="4" t="s">
        <v>361</v>
      </c>
    </row>
    <row r="27" spans="1:15" x14ac:dyDescent="0.35">
      <c r="A27" s="3" t="s">
        <v>84</v>
      </c>
      <c r="B27" s="4" t="s">
        <v>85</v>
      </c>
      <c r="C27" s="4" t="s">
        <v>86</v>
      </c>
      <c r="D27" s="4" t="str">
        <f>VLOOKUP(A27,[1]!Base_clientes[[#All],[RUT]:[Razon social]],7,0)</f>
        <v xml:space="preserve">COMUNIDAD EDIFICIO EL GOLF 99 </v>
      </c>
      <c r="E27" s="4" t="s">
        <v>353</v>
      </c>
      <c r="F27" s="4" t="s">
        <v>354</v>
      </c>
      <c r="G27" s="5">
        <v>45799</v>
      </c>
      <c r="H27" s="4" t="s">
        <v>11</v>
      </c>
      <c r="I27" s="5">
        <v>45800</v>
      </c>
      <c r="J27" s="5">
        <v>46165</v>
      </c>
      <c r="K27" s="4" t="s">
        <v>12</v>
      </c>
      <c r="L27" s="4" t="s">
        <v>353</v>
      </c>
      <c r="M27" s="4" t="s">
        <v>359</v>
      </c>
      <c r="N27" s="4" t="s">
        <v>360</v>
      </c>
      <c r="O27" s="4" t="s">
        <v>361</v>
      </c>
    </row>
    <row r="28" spans="1:15" x14ac:dyDescent="0.35">
      <c r="A28" s="3" t="s">
        <v>87</v>
      </c>
      <c r="B28" s="4" t="s">
        <v>88</v>
      </c>
      <c r="C28" s="4" t="s">
        <v>89</v>
      </c>
      <c r="D28" s="4" t="str">
        <f>VLOOKUP(A28,[1]!Base_clientes[[#All],[RUT]:[Razon social]],7,0)</f>
        <v>EDIFICIO APOQUINDO 3500</v>
      </c>
      <c r="E28" s="4" t="s">
        <v>353</v>
      </c>
      <c r="F28" s="4" t="s">
        <v>354</v>
      </c>
      <c r="G28" s="5">
        <v>45799</v>
      </c>
      <c r="H28" s="4" t="s">
        <v>11</v>
      </c>
      <c r="I28" s="5">
        <v>45800</v>
      </c>
      <c r="J28" s="5">
        <v>46165</v>
      </c>
      <c r="K28" s="4" t="s">
        <v>12</v>
      </c>
      <c r="L28" s="4" t="s">
        <v>353</v>
      </c>
      <c r="M28" s="4" t="s">
        <v>359</v>
      </c>
      <c r="N28" s="4" t="s">
        <v>360</v>
      </c>
      <c r="O28" s="4" t="s">
        <v>361</v>
      </c>
    </row>
    <row r="29" spans="1:15" x14ac:dyDescent="0.35">
      <c r="A29" s="3" t="s">
        <v>90</v>
      </c>
      <c r="B29" s="4" t="s">
        <v>91</v>
      </c>
      <c r="C29" s="4" t="s">
        <v>92</v>
      </c>
      <c r="D29" s="4" t="str">
        <f>VLOOKUP(A29,[1]!Base_clientes[[#All],[RUT]:[Razon social]],7,0)</f>
        <v>RAMON PASTENE URRA</v>
      </c>
      <c r="E29" s="4" t="s">
        <v>353</v>
      </c>
      <c r="F29" s="4" t="s">
        <v>354</v>
      </c>
      <c r="G29" s="5">
        <v>45799</v>
      </c>
      <c r="H29" s="4" t="s">
        <v>11</v>
      </c>
      <c r="I29" s="5">
        <v>45800</v>
      </c>
      <c r="J29" s="5">
        <v>46165</v>
      </c>
      <c r="K29" s="4" t="s">
        <v>12</v>
      </c>
      <c r="L29" s="4" t="s">
        <v>353</v>
      </c>
      <c r="M29" s="4" t="s">
        <v>359</v>
      </c>
      <c r="N29" s="4" t="s">
        <v>360</v>
      </c>
      <c r="O29" s="4" t="s">
        <v>361</v>
      </c>
    </row>
    <row r="30" spans="1:15" x14ac:dyDescent="0.35">
      <c r="A30" s="3" t="s">
        <v>93</v>
      </c>
      <c r="B30" s="4" t="s">
        <v>94</v>
      </c>
      <c r="C30" s="4" t="s">
        <v>95</v>
      </c>
      <c r="D30" s="4" t="str">
        <f>VLOOKUP(A30,[1]!Base_clientes[[#All],[RUT]:[Razon social]],7,0)</f>
        <v>SERVICIO AGRICOLA Y GANADERO</v>
      </c>
      <c r="E30" s="4" t="s">
        <v>353</v>
      </c>
      <c r="F30" s="4" t="s">
        <v>354</v>
      </c>
      <c r="G30" s="5">
        <v>45799</v>
      </c>
      <c r="H30" s="4" t="s">
        <v>11</v>
      </c>
      <c r="I30" s="5">
        <v>45800</v>
      </c>
      <c r="J30" s="5">
        <v>46165</v>
      </c>
      <c r="K30" s="4" t="s">
        <v>12</v>
      </c>
      <c r="L30" s="4" t="s">
        <v>353</v>
      </c>
      <c r="M30" s="4" t="s">
        <v>359</v>
      </c>
      <c r="N30" s="4" t="s">
        <v>360</v>
      </c>
      <c r="O30" s="4" t="s">
        <v>361</v>
      </c>
    </row>
    <row r="31" spans="1:15" x14ac:dyDescent="0.35">
      <c r="A31" s="3" t="s">
        <v>96</v>
      </c>
      <c r="B31" s="4" t="s">
        <v>97</v>
      </c>
      <c r="C31" s="4" t="s">
        <v>98</v>
      </c>
      <c r="D31" s="4" t="str">
        <f>VLOOKUP(A31,[1]!Base_clientes[[#All],[RUT]:[Razon social]],7,0)</f>
        <v>SUBCONDOMINIO EDIFICO INGECOL</v>
      </c>
      <c r="E31" s="4" t="s">
        <v>353</v>
      </c>
      <c r="F31" s="4" t="s">
        <v>354</v>
      </c>
      <c r="G31" s="5">
        <v>45799</v>
      </c>
      <c r="H31" s="4" t="s">
        <v>11</v>
      </c>
      <c r="I31" s="5">
        <v>45805</v>
      </c>
      <c r="J31" s="5">
        <v>46170</v>
      </c>
      <c r="K31" s="4" t="s">
        <v>12</v>
      </c>
      <c r="L31" s="4" t="s">
        <v>353</v>
      </c>
      <c r="M31" s="4" t="s">
        <v>359</v>
      </c>
      <c r="N31" s="4" t="s">
        <v>360</v>
      </c>
      <c r="O31" s="4" t="s">
        <v>361</v>
      </c>
    </row>
    <row r="32" spans="1:15" x14ac:dyDescent="0.35">
      <c r="A32" s="3" t="s">
        <v>99</v>
      </c>
      <c r="B32" s="4" t="s">
        <v>100</v>
      </c>
      <c r="C32" s="4" t="s">
        <v>101</v>
      </c>
      <c r="D32" s="4" t="str">
        <f>VLOOKUP(A32,[1]!Base_clientes[[#All],[RUT]:[Razon social]],7,0)</f>
        <v>EDIFICIO COSTANERA PUENTE SUECIA</v>
      </c>
      <c r="E32" s="4" t="s">
        <v>353</v>
      </c>
      <c r="F32" s="4" t="s">
        <v>354</v>
      </c>
      <c r="G32" s="5">
        <v>45799</v>
      </c>
      <c r="H32" s="4" t="s">
        <v>11</v>
      </c>
      <c r="I32" s="5">
        <v>45805</v>
      </c>
      <c r="J32" s="5">
        <v>46170</v>
      </c>
      <c r="K32" s="4" t="s">
        <v>12</v>
      </c>
      <c r="L32" s="4" t="s">
        <v>353</v>
      </c>
      <c r="M32" s="4" t="s">
        <v>359</v>
      </c>
      <c r="N32" s="4" t="s">
        <v>360</v>
      </c>
      <c r="O32" s="4" t="s">
        <v>361</v>
      </c>
    </row>
    <row r="33" spans="1:15" x14ac:dyDescent="0.35">
      <c r="A33" s="3" t="s">
        <v>102</v>
      </c>
      <c r="B33" s="4" t="s">
        <v>103</v>
      </c>
      <c r="C33" s="4" t="s">
        <v>104</v>
      </c>
      <c r="D33" s="4" t="str">
        <f>VLOOKUP(A33,[1]!Base_clientes[[#All],[RUT]:[Razon social]],7,0)</f>
        <v>HACIENDA CHICUREO CLUB</v>
      </c>
      <c r="E33" s="4" t="s">
        <v>353</v>
      </c>
      <c r="F33" s="4" t="s">
        <v>354</v>
      </c>
      <c r="G33" s="5">
        <v>45799</v>
      </c>
      <c r="H33" s="4" t="s">
        <v>11</v>
      </c>
      <c r="I33" s="5">
        <v>45805</v>
      </c>
      <c r="J33" s="5">
        <v>46170</v>
      </c>
      <c r="K33" s="4" t="s">
        <v>12</v>
      </c>
      <c r="L33" s="4" t="s">
        <v>353</v>
      </c>
      <c r="M33" s="4" t="s">
        <v>359</v>
      </c>
      <c r="N33" s="4" t="s">
        <v>360</v>
      </c>
      <c r="O33" s="4" t="s">
        <v>361</v>
      </c>
    </row>
    <row r="34" spans="1:15" x14ac:dyDescent="0.35">
      <c r="A34" s="3" t="s">
        <v>105</v>
      </c>
      <c r="B34" s="4" t="s">
        <v>106</v>
      </c>
      <c r="C34" s="4" t="s">
        <v>107</v>
      </c>
      <c r="D34" s="4" t="str">
        <f>VLOOKUP(A34,[1]!Base_clientes[[#All],[RUT]:[Razon social]],7,0)</f>
        <v>CLAUDIO ALEJANDRO MUÑOZ ROZZI</v>
      </c>
      <c r="E34" s="4" t="s">
        <v>353</v>
      </c>
      <c r="F34" s="4" t="s">
        <v>354</v>
      </c>
      <c r="G34" s="5">
        <v>45799</v>
      </c>
      <c r="H34" s="4" t="s">
        <v>11</v>
      </c>
      <c r="I34" s="5">
        <v>45805</v>
      </c>
      <c r="J34" s="5">
        <v>46170</v>
      </c>
      <c r="K34" s="4" t="s">
        <v>12</v>
      </c>
      <c r="L34" s="4" t="s">
        <v>353</v>
      </c>
      <c r="M34" s="4" t="s">
        <v>359</v>
      </c>
      <c r="N34" s="4" t="s">
        <v>360</v>
      </c>
      <c r="O34" s="4" t="s">
        <v>361</v>
      </c>
    </row>
    <row r="35" spans="1:15" x14ac:dyDescent="0.35">
      <c r="A35" s="3" t="s">
        <v>108</v>
      </c>
      <c r="B35" s="4" t="s">
        <v>109</v>
      </c>
      <c r="C35" s="4" t="s">
        <v>110</v>
      </c>
      <c r="D35" s="4" t="str">
        <f>VLOOKUP(A35,[1]!Base_clientes[[#All],[RUT]:[Razon social]],7,0)</f>
        <v>Inversiones Amanecer SpA</v>
      </c>
      <c r="E35" s="4" t="s">
        <v>353</v>
      </c>
      <c r="F35" s="4" t="s">
        <v>354</v>
      </c>
      <c r="G35" s="5">
        <v>45799</v>
      </c>
      <c r="H35" s="4" t="s">
        <v>11</v>
      </c>
      <c r="I35" s="5">
        <v>45805</v>
      </c>
      <c r="J35" s="5">
        <v>46170</v>
      </c>
      <c r="K35" s="4" t="s">
        <v>12</v>
      </c>
      <c r="L35" s="4" t="s">
        <v>353</v>
      </c>
      <c r="M35" s="4" t="s">
        <v>359</v>
      </c>
      <c r="N35" s="4" t="s">
        <v>360</v>
      </c>
      <c r="O35" s="4" t="s">
        <v>361</v>
      </c>
    </row>
    <row r="36" spans="1:15" x14ac:dyDescent="0.35">
      <c r="A36" s="3" t="s">
        <v>111</v>
      </c>
      <c r="B36" s="4" t="s">
        <v>112</v>
      </c>
      <c r="C36" s="4" t="s">
        <v>113</v>
      </c>
      <c r="D36" s="4" t="str">
        <f>VLOOKUP(A36,[1]!Base_clientes[[#All],[RUT]:[Razon social]],7,0)</f>
        <v>RENTAS PATIO I SPA</v>
      </c>
      <c r="E36" s="4" t="s">
        <v>353</v>
      </c>
      <c r="F36" s="4" t="s">
        <v>354</v>
      </c>
      <c r="G36" s="5">
        <v>45799</v>
      </c>
      <c r="H36" s="4" t="s">
        <v>11</v>
      </c>
      <c r="I36" s="5">
        <v>45805</v>
      </c>
      <c r="J36" s="5">
        <v>46170</v>
      </c>
      <c r="K36" s="4" t="s">
        <v>12</v>
      </c>
      <c r="L36" s="4" t="s">
        <v>353</v>
      </c>
      <c r="M36" s="4" t="s">
        <v>359</v>
      </c>
      <c r="N36" s="4" t="s">
        <v>360</v>
      </c>
      <c r="O36" s="4" t="s">
        <v>361</v>
      </c>
    </row>
    <row r="37" spans="1:15" x14ac:dyDescent="0.35">
      <c r="A37" s="3" t="s">
        <v>114</v>
      </c>
      <c r="B37" s="4" t="s">
        <v>115</v>
      </c>
      <c r="C37" s="4" t="s">
        <v>116</v>
      </c>
      <c r="D37" s="4" t="str">
        <f>VLOOKUP(A37,[1]!Base_clientes[[#All],[RUT]:[Razon social]],7,0)</f>
        <v>LV PATIO RENTA INMOBILIARIA I SPA</v>
      </c>
      <c r="E37" s="4" t="s">
        <v>353</v>
      </c>
      <c r="F37" s="4" t="s">
        <v>354</v>
      </c>
      <c r="G37" s="5">
        <v>45799</v>
      </c>
      <c r="H37" s="4" t="s">
        <v>11</v>
      </c>
      <c r="I37" s="5">
        <v>45805</v>
      </c>
      <c r="J37" s="5">
        <v>46170</v>
      </c>
      <c r="K37" s="4" t="s">
        <v>12</v>
      </c>
      <c r="L37" s="4" t="s">
        <v>353</v>
      </c>
      <c r="M37" s="4" t="s">
        <v>359</v>
      </c>
      <c r="N37" s="4" t="s">
        <v>360</v>
      </c>
      <c r="O37" s="4" t="s">
        <v>361</v>
      </c>
    </row>
    <row r="38" spans="1:15" x14ac:dyDescent="0.35">
      <c r="A38" s="3" t="s">
        <v>117</v>
      </c>
      <c r="B38" s="4" t="s">
        <v>118</v>
      </c>
      <c r="C38" s="4" t="s">
        <v>119</v>
      </c>
      <c r="D38" s="4" t="str">
        <f>VLOOKUP(A38,[1]!Base_clientes[[#All],[RUT]:[Razon social]],7,0)</f>
        <v>LV-PATIO RENTA INMOBILIARIA III SPA</v>
      </c>
      <c r="E38" s="4" t="s">
        <v>353</v>
      </c>
      <c r="F38" s="4" t="s">
        <v>354</v>
      </c>
      <c r="G38" s="5">
        <v>45799</v>
      </c>
      <c r="H38" s="4" t="s">
        <v>11</v>
      </c>
      <c r="I38" s="5">
        <v>45805</v>
      </c>
      <c r="J38" s="5">
        <v>46170</v>
      </c>
      <c r="K38" s="4" t="s">
        <v>12</v>
      </c>
      <c r="L38" s="4" t="s">
        <v>353</v>
      </c>
      <c r="M38" s="4" t="s">
        <v>359</v>
      </c>
      <c r="N38" s="4" t="s">
        <v>360</v>
      </c>
      <c r="O38" s="4" t="s">
        <v>361</v>
      </c>
    </row>
    <row r="39" spans="1:15" x14ac:dyDescent="0.35">
      <c r="A39" s="3" t="s">
        <v>120</v>
      </c>
      <c r="B39" s="4" t="s">
        <v>121</v>
      </c>
      <c r="C39" s="4" t="s">
        <v>122</v>
      </c>
      <c r="D39" s="4" t="str">
        <f>VLOOKUP(A39,[1]!Base_clientes[[#All],[RUT]:[Razon social]],7,0)</f>
        <v>INMOBILIARIA Y CONSTRUCTORA COPIAPO S.A.</v>
      </c>
      <c r="E39" s="4" t="s">
        <v>353</v>
      </c>
      <c r="F39" s="4" t="s">
        <v>354</v>
      </c>
      <c r="G39" s="5">
        <v>45799</v>
      </c>
      <c r="H39" s="4" t="s">
        <v>11</v>
      </c>
      <c r="I39" s="5">
        <v>45805</v>
      </c>
      <c r="J39" s="5">
        <v>46170</v>
      </c>
      <c r="K39" s="4" t="s">
        <v>12</v>
      </c>
      <c r="L39" s="4" t="s">
        <v>353</v>
      </c>
      <c r="M39" s="4" t="s">
        <v>359</v>
      </c>
      <c r="N39" s="4" t="s">
        <v>360</v>
      </c>
      <c r="O39" s="4" t="s">
        <v>361</v>
      </c>
    </row>
    <row r="40" spans="1:15" x14ac:dyDescent="0.35">
      <c r="A40" s="3" t="s">
        <v>123</v>
      </c>
      <c r="B40" s="4" t="s">
        <v>124</v>
      </c>
      <c r="C40" s="4" t="s">
        <v>125</v>
      </c>
      <c r="D40" s="4" t="str">
        <f>VLOOKUP(A40,[1]!Base_clientes[[#All],[RUT]:[Razon social]],7,0)</f>
        <v>RA Solar SpA.</v>
      </c>
      <c r="E40" s="4" t="s">
        <v>353</v>
      </c>
      <c r="F40" s="4" t="s">
        <v>354</v>
      </c>
      <c r="G40" s="5">
        <v>45799</v>
      </c>
      <c r="H40" s="4" t="s">
        <v>11</v>
      </c>
      <c r="I40" s="5">
        <v>45805</v>
      </c>
      <c r="J40" s="5">
        <v>46170</v>
      </c>
      <c r="K40" s="4" t="s">
        <v>12</v>
      </c>
      <c r="L40" s="4" t="s">
        <v>353</v>
      </c>
      <c r="M40" s="4" t="s">
        <v>359</v>
      </c>
      <c r="N40" s="4" t="s">
        <v>360</v>
      </c>
      <c r="O40" s="4" t="s">
        <v>361</v>
      </c>
    </row>
    <row r="41" spans="1:15" x14ac:dyDescent="0.35">
      <c r="A41" s="3" t="s">
        <v>126</v>
      </c>
      <c r="B41" s="4" t="s">
        <v>127</v>
      </c>
      <c r="C41" s="4" t="s">
        <v>128</v>
      </c>
      <c r="D41" s="4" t="str">
        <f>VLOOKUP(A41,[1]!Base_clientes[[#All],[RUT]:[Razon social]],7,0)</f>
        <v>GR Liun Spa</v>
      </c>
      <c r="E41" s="4" t="s">
        <v>353</v>
      </c>
      <c r="F41" s="4" t="s">
        <v>354</v>
      </c>
      <c r="G41" s="5">
        <v>45799</v>
      </c>
      <c r="H41" s="4" t="s">
        <v>11</v>
      </c>
      <c r="I41" s="5">
        <v>45805</v>
      </c>
      <c r="J41" s="5">
        <v>46170</v>
      </c>
      <c r="K41" s="4" t="s">
        <v>12</v>
      </c>
      <c r="L41" s="4" t="s">
        <v>353</v>
      </c>
      <c r="M41" s="4" t="s">
        <v>359</v>
      </c>
      <c r="N41" s="4" t="s">
        <v>360</v>
      </c>
      <c r="O41" s="4" t="s">
        <v>361</v>
      </c>
    </row>
    <row r="42" spans="1:15" x14ac:dyDescent="0.35">
      <c r="A42" s="3" t="s">
        <v>129</v>
      </c>
      <c r="B42" s="4" t="s">
        <v>130</v>
      </c>
      <c r="C42" s="4" t="s">
        <v>131</v>
      </c>
      <c r="D42" s="4" t="str">
        <f>VLOOKUP(A42,[1]!Base_clientes[[#All],[RUT]:[Razon social]],7,0)</f>
        <v>EMPRESA EL MERCURIO S A P</v>
      </c>
      <c r="E42" s="4" t="s">
        <v>353</v>
      </c>
      <c r="F42" s="4" t="s">
        <v>354</v>
      </c>
      <c r="G42" s="5">
        <v>45799</v>
      </c>
      <c r="H42" s="4" t="s">
        <v>11</v>
      </c>
      <c r="I42" s="5">
        <v>45805</v>
      </c>
      <c r="J42" s="5">
        <v>46170</v>
      </c>
      <c r="K42" s="4" t="s">
        <v>12</v>
      </c>
      <c r="L42" s="4" t="s">
        <v>353</v>
      </c>
      <c r="M42" s="4" t="s">
        <v>359</v>
      </c>
      <c r="N42" s="4" t="s">
        <v>360</v>
      </c>
      <c r="O42" s="4" t="s">
        <v>361</v>
      </c>
    </row>
    <row r="43" spans="1:15" x14ac:dyDescent="0.35">
      <c r="A43" s="3" t="s">
        <v>132</v>
      </c>
      <c r="B43" s="4" t="s">
        <v>133</v>
      </c>
      <c r="C43" s="4" t="s">
        <v>134</v>
      </c>
      <c r="D43" s="4" t="str">
        <f>VLOOKUP(A43,[1]!Base_clientes[[#All],[RUT]:[Razon social]],7,0)</f>
        <v>VIDRIOS DELL ORTO S.A.</v>
      </c>
      <c r="E43" s="4" t="s">
        <v>353</v>
      </c>
      <c r="F43" s="4" t="s">
        <v>354</v>
      </c>
      <c r="G43" s="5">
        <v>45799</v>
      </c>
      <c r="H43" s="4" t="s">
        <v>11</v>
      </c>
      <c r="I43" s="5">
        <v>45805</v>
      </c>
      <c r="J43" s="5">
        <v>46170</v>
      </c>
      <c r="K43" s="4" t="s">
        <v>12</v>
      </c>
      <c r="L43" s="4" t="s">
        <v>353</v>
      </c>
      <c r="M43" s="4" t="s">
        <v>359</v>
      </c>
      <c r="N43" s="4" t="s">
        <v>360</v>
      </c>
      <c r="O43" s="4" t="s">
        <v>361</v>
      </c>
    </row>
    <row r="44" spans="1:15" x14ac:dyDescent="0.35">
      <c r="A44" s="3" t="s">
        <v>135</v>
      </c>
      <c r="B44" s="4" t="s">
        <v>136</v>
      </c>
      <c r="C44" s="4" t="s">
        <v>137</v>
      </c>
      <c r="D44" s="4" t="str">
        <f>VLOOKUP(A44,[1]!Base_clientes[[#All],[RUT]:[Razon social]],7,0)</f>
        <v>LABORATORIOS SAVAL S.A.</v>
      </c>
      <c r="E44" s="4" t="s">
        <v>353</v>
      </c>
      <c r="F44" s="4" t="s">
        <v>354</v>
      </c>
      <c r="G44" s="5">
        <v>45799.751215277778</v>
      </c>
      <c r="H44" s="4" t="s">
        <v>11</v>
      </c>
      <c r="I44" s="5">
        <v>45800.386504629627</v>
      </c>
      <c r="J44" s="5">
        <v>46165.386504629627</v>
      </c>
      <c r="K44" s="4" t="s">
        <v>12</v>
      </c>
      <c r="L44" s="4" t="s">
        <v>353</v>
      </c>
      <c r="M44" s="4" t="s">
        <v>359</v>
      </c>
      <c r="N44" s="4" t="s">
        <v>360</v>
      </c>
      <c r="O44" s="4" t="s">
        <v>361</v>
      </c>
    </row>
    <row r="45" spans="1:15" x14ac:dyDescent="0.35">
      <c r="A45" s="3" t="s">
        <v>138</v>
      </c>
      <c r="B45" s="4" t="s">
        <v>139</v>
      </c>
      <c r="C45" s="4" t="s">
        <v>140</v>
      </c>
      <c r="D45" s="4" t="str">
        <f>VLOOKUP(A45,[1]!Base_clientes[[#All],[RUT]:[Razon social]],7,0)</f>
        <v>INSTITUTO DE DIAGNOSTICO S.A.</v>
      </c>
      <c r="E45" s="4" t="s">
        <v>353</v>
      </c>
      <c r="F45" s="4" t="s">
        <v>354</v>
      </c>
      <c r="G45" s="5">
        <v>45800</v>
      </c>
      <c r="H45" s="4" t="s">
        <v>11</v>
      </c>
      <c r="I45" s="5">
        <v>45805</v>
      </c>
      <c r="J45" s="5">
        <v>46170</v>
      </c>
      <c r="K45" s="4" t="s">
        <v>12</v>
      </c>
      <c r="L45" s="4" t="s">
        <v>353</v>
      </c>
      <c r="M45" s="4" t="s">
        <v>359</v>
      </c>
      <c r="N45" s="4" t="s">
        <v>360</v>
      </c>
      <c r="O45" s="4" t="s">
        <v>361</v>
      </c>
    </row>
    <row r="46" spans="1:15" x14ac:dyDescent="0.35">
      <c r="A46" s="3" t="s">
        <v>141</v>
      </c>
      <c r="B46" s="4" t="s">
        <v>142</v>
      </c>
      <c r="C46" s="4" t="s">
        <v>143</v>
      </c>
      <c r="D46" s="4" t="str">
        <f>VLOOKUP(A46,[1]!Base_clientes[[#All],[RUT]:[Razon social]],7,0)</f>
        <v>HOTEL CORPORATION OF CHILE S.A.</v>
      </c>
      <c r="E46" s="4" t="s">
        <v>353</v>
      </c>
      <c r="F46" s="4" t="s">
        <v>354</v>
      </c>
      <c r="G46" s="5">
        <v>45800</v>
      </c>
      <c r="H46" s="4" t="s">
        <v>11</v>
      </c>
      <c r="I46" s="5">
        <v>45805</v>
      </c>
      <c r="J46" s="5">
        <v>46170</v>
      </c>
      <c r="K46" s="4" t="s">
        <v>12</v>
      </c>
      <c r="L46" s="4" t="s">
        <v>353</v>
      </c>
      <c r="M46" s="4" t="s">
        <v>359</v>
      </c>
      <c r="N46" s="4" t="s">
        <v>360</v>
      </c>
      <c r="O46" s="4" t="s">
        <v>361</v>
      </c>
    </row>
    <row r="47" spans="1:15" x14ac:dyDescent="0.35">
      <c r="A47" s="3" t="s">
        <v>144</v>
      </c>
      <c r="B47" s="4" t="s">
        <v>145</v>
      </c>
      <c r="C47" s="4" t="s">
        <v>146</v>
      </c>
      <c r="D47" s="4" t="str">
        <f>VLOOKUP(A47,[1]!Base_clientes[[#All],[RUT]:[Razon social]],7,0)</f>
        <v>VALLE FRIO SPA</v>
      </c>
      <c r="E47" s="4" t="s">
        <v>353</v>
      </c>
      <c r="F47" s="4" t="s">
        <v>354</v>
      </c>
      <c r="G47" s="5">
        <v>45800</v>
      </c>
      <c r="H47" s="4" t="s">
        <v>11</v>
      </c>
      <c r="I47" s="5">
        <v>45805</v>
      </c>
      <c r="J47" s="5">
        <v>46170</v>
      </c>
      <c r="K47" s="4" t="s">
        <v>12</v>
      </c>
      <c r="L47" s="4" t="s">
        <v>353</v>
      </c>
      <c r="M47" s="4" t="s">
        <v>359</v>
      </c>
      <c r="N47" s="4" t="s">
        <v>360</v>
      </c>
      <c r="O47" s="4" t="s">
        <v>361</v>
      </c>
    </row>
    <row r="48" spans="1:15" x14ac:dyDescent="0.35">
      <c r="A48" s="3" t="s">
        <v>147</v>
      </c>
      <c r="B48" s="4" t="s">
        <v>148</v>
      </c>
      <c r="C48" s="4" t="s">
        <v>149</v>
      </c>
      <c r="D48" s="4" t="str">
        <f>VLOOKUP(A48,[1]!Base_clientes[[#All],[RUT]:[Razon social]],7,0)</f>
        <v>SOCIEDAD CONCESIONARIA AERPUERTO EL LOA – SCAEL</v>
      </c>
      <c r="E48" s="4" t="s">
        <v>353</v>
      </c>
      <c r="F48" s="4" t="s">
        <v>354</v>
      </c>
      <c r="G48" s="5">
        <v>45800</v>
      </c>
      <c r="H48" s="4" t="s">
        <v>11</v>
      </c>
      <c r="I48" s="5">
        <v>45805</v>
      </c>
      <c r="J48" s="5">
        <v>46170</v>
      </c>
      <c r="K48" s="4" t="s">
        <v>12</v>
      </c>
      <c r="L48" s="4" t="s">
        <v>353</v>
      </c>
      <c r="M48" s="4" t="s">
        <v>359</v>
      </c>
      <c r="N48" s="4" t="s">
        <v>360</v>
      </c>
      <c r="O48" s="4" t="s">
        <v>361</v>
      </c>
    </row>
    <row r="49" spans="1:15" x14ac:dyDescent="0.35">
      <c r="A49" s="3" t="s">
        <v>150</v>
      </c>
      <c r="B49" s="4" t="s">
        <v>151</v>
      </c>
      <c r="C49" s="4" t="s">
        <v>152</v>
      </c>
      <c r="D49" s="4" t="str">
        <f>VLOOKUP(A49,[1]!Base_clientes[[#All],[RUT]:[Razon social]],7,0)</f>
        <v>GATE GOURMET CATERING CHILE LTDA</v>
      </c>
      <c r="E49" s="4" t="s">
        <v>353</v>
      </c>
      <c r="F49" s="4" t="s">
        <v>354</v>
      </c>
      <c r="G49" s="5">
        <v>45799</v>
      </c>
      <c r="H49" s="4" t="s">
        <v>11</v>
      </c>
      <c r="I49" s="5">
        <v>45805</v>
      </c>
      <c r="J49" s="5">
        <v>46170</v>
      </c>
      <c r="K49" s="4" t="s">
        <v>12</v>
      </c>
      <c r="L49" s="4" t="s">
        <v>353</v>
      </c>
      <c r="M49" s="4" t="s">
        <v>359</v>
      </c>
      <c r="N49" s="4" t="s">
        <v>360</v>
      </c>
      <c r="O49" s="4" t="s">
        <v>361</v>
      </c>
    </row>
    <row r="50" spans="1:15" x14ac:dyDescent="0.35">
      <c r="A50" s="3" t="s">
        <v>153</v>
      </c>
      <c r="B50" s="4" t="s">
        <v>154</v>
      </c>
      <c r="C50" s="4" t="s">
        <v>155</v>
      </c>
      <c r="D50" s="4" t="str">
        <f>VLOOKUP(A50,[1]!Base_clientes[[#All],[RUT]:[Razon social]],7,0)</f>
        <v>PROA S.A.</v>
      </c>
      <c r="E50" s="4" t="s">
        <v>353</v>
      </c>
      <c r="F50" s="4" t="s">
        <v>354</v>
      </c>
      <c r="G50" s="5">
        <v>45799</v>
      </c>
      <c r="H50" s="4" t="s">
        <v>11</v>
      </c>
      <c r="I50" s="5">
        <v>45824</v>
      </c>
      <c r="J50" s="5">
        <v>46189</v>
      </c>
      <c r="K50" s="4" t="s">
        <v>12</v>
      </c>
      <c r="L50" s="4" t="s">
        <v>353</v>
      </c>
      <c r="M50" s="4" t="s">
        <v>359</v>
      </c>
      <c r="N50" s="4" t="s">
        <v>360</v>
      </c>
      <c r="O50" s="4" t="s">
        <v>361</v>
      </c>
    </row>
    <row r="51" spans="1:15" x14ac:dyDescent="0.35">
      <c r="A51" s="3" t="s">
        <v>156</v>
      </c>
      <c r="B51" s="4" t="s">
        <v>157</v>
      </c>
      <c r="C51" s="4" t="s">
        <v>338</v>
      </c>
      <c r="D51" s="4" t="str">
        <f>VLOOKUP(A51,[1]!Base_clientes[[#All],[RUT]:[Razon social]],7,0)</f>
        <v>YPF S.A.</v>
      </c>
      <c r="E51" s="4" t="s">
        <v>353</v>
      </c>
      <c r="F51" s="4" t="s">
        <v>354</v>
      </c>
      <c r="G51" s="5">
        <v>45803</v>
      </c>
      <c r="H51" s="4" t="s">
        <v>11</v>
      </c>
      <c r="I51" s="5">
        <v>45838</v>
      </c>
      <c r="J51" s="5">
        <v>46203</v>
      </c>
      <c r="K51" s="4" t="s">
        <v>12</v>
      </c>
      <c r="L51" s="4" t="s">
        <v>353</v>
      </c>
      <c r="M51" s="4" t="s">
        <v>359</v>
      </c>
      <c r="N51" s="4" t="s">
        <v>360</v>
      </c>
      <c r="O51" s="4" t="s">
        <v>361</v>
      </c>
    </row>
    <row r="52" spans="1:15" x14ac:dyDescent="0.35">
      <c r="A52" s="3" t="s">
        <v>158</v>
      </c>
      <c r="B52" s="4" t="s">
        <v>159</v>
      </c>
      <c r="C52" s="4" t="s">
        <v>160</v>
      </c>
      <c r="D52" s="4" t="str">
        <f>VLOOKUP(A52,[1]!Base_clientes[[#All],[RUT]:[Razon social]],7,0)</f>
        <v>Coca Cola Embonor S.A..</v>
      </c>
      <c r="E52" s="4" t="s">
        <v>353</v>
      </c>
      <c r="F52" s="4" t="s">
        <v>354</v>
      </c>
      <c r="G52" s="5">
        <v>45807</v>
      </c>
      <c r="H52" s="4" t="s">
        <v>11</v>
      </c>
      <c r="I52" s="5">
        <v>45831</v>
      </c>
      <c r="J52" s="5">
        <v>46196</v>
      </c>
      <c r="K52" s="4" t="s">
        <v>12</v>
      </c>
      <c r="L52" s="4" t="s">
        <v>353</v>
      </c>
      <c r="M52" s="4" t="s">
        <v>359</v>
      </c>
      <c r="N52" s="4" t="s">
        <v>360</v>
      </c>
      <c r="O52" s="4" t="s">
        <v>361</v>
      </c>
    </row>
    <row r="53" spans="1:15" x14ac:dyDescent="0.35">
      <c r="A53" s="3" t="s">
        <v>161</v>
      </c>
      <c r="B53" s="4" t="s">
        <v>162</v>
      </c>
      <c r="C53" s="4" t="s">
        <v>163</v>
      </c>
      <c r="D53" s="4" t="str">
        <f>VLOOKUP(A53,[1]!Base_clientes[[#All],[RUT]:[Razon social]],7,0)</f>
        <v>GM HOLDINGS S.A.</v>
      </c>
      <c r="E53" s="4" t="s">
        <v>353</v>
      </c>
      <c r="F53" s="4" t="s">
        <v>354</v>
      </c>
      <c r="G53" s="5">
        <v>45807</v>
      </c>
      <c r="H53" s="4" t="s">
        <v>11</v>
      </c>
      <c r="I53" s="5">
        <v>45813</v>
      </c>
      <c r="J53" s="5">
        <v>46178</v>
      </c>
      <c r="K53" s="4" t="s">
        <v>12</v>
      </c>
      <c r="L53" s="4" t="s">
        <v>353</v>
      </c>
      <c r="M53" s="4" t="s">
        <v>359</v>
      </c>
      <c r="N53" s="4" t="s">
        <v>360</v>
      </c>
      <c r="O53" s="4" t="s">
        <v>361</v>
      </c>
    </row>
    <row r="54" spans="1:15" x14ac:dyDescent="0.35">
      <c r="A54" s="3" t="s">
        <v>164</v>
      </c>
      <c r="B54" s="4" t="s">
        <v>165</v>
      </c>
      <c r="C54" s="4" t="s">
        <v>339</v>
      </c>
      <c r="D54" s="4" t="str">
        <f>VLOOKUP(A54,[1]!Base_clientes[[#All],[RUT]:[Razon social]],7,0)</f>
        <v>Inmobiliaria Rentas Dos SpA</v>
      </c>
      <c r="E54" s="4" t="s">
        <v>353</v>
      </c>
      <c r="F54" s="4" t="s">
        <v>354</v>
      </c>
      <c r="G54" s="5">
        <v>45807</v>
      </c>
      <c r="H54" s="4" t="s">
        <v>11</v>
      </c>
      <c r="I54" s="5">
        <v>45832</v>
      </c>
      <c r="J54" s="5">
        <v>46197</v>
      </c>
      <c r="K54" s="4" t="s">
        <v>12</v>
      </c>
      <c r="L54" s="4" t="s">
        <v>353</v>
      </c>
      <c r="M54" s="4" t="s">
        <v>359</v>
      </c>
      <c r="N54" s="4" t="s">
        <v>360</v>
      </c>
      <c r="O54" s="4" t="s">
        <v>361</v>
      </c>
    </row>
    <row r="55" spans="1:15" x14ac:dyDescent="0.35">
      <c r="A55" s="3" t="s">
        <v>166</v>
      </c>
      <c r="B55" s="4" t="s">
        <v>167</v>
      </c>
      <c r="C55" s="4" t="s">
        <v>340</v>
      </c>
      <c r="D55" s="4" t="str">
        <f>VLOOKUP(A55,[1]!Base_clientes[[#All],[RUT]:[Razon social]],7,0)</f>
        <v>INDUSTRIAS PRODUCTOS ALIMENTICIOS SA</v>
      </c>
      <c r="E55" s="4" t="s">
        <v>353</v>
      </c>
      <c r="F55" s="4" t="s">
        <v>354</v>
      </c>
      <c r="G55" s="5">
        <v>45807</v>
      </c>
      <c r="H55" s="4" t="s">
        <v>11</v>
      </c>
      <c r="I55" s="5">
        <v>45813</v>
      </c>
      <c r="J55" s="5">
        <v>46178</v>
      </c>
      <c r="K55" s="4" t="s">
        <v>12</v>
      </c>
      <c r="L55" s="4" t="s">
        <v>353</v>
      </c>
      <c r="M55" s="4" t="s">
        <v>359</v>
      </c>
      <c r="N55" s="4" t="s">
        <v>360</v>
      </c>
      <c r="O55" s="4" t="s">
        <v>361</v>
      </c>
    </row>
    <row r="56" spans="1:15" x14ac:dyDescent="0.35">
      <c r="A56" s="3" t="s">
        <v>168</v>
      </c>
      <c r="B56" s="4" t="s">
        <v>169</v>
      </c>
      <c r="C56" s="4" t="s">
        <v>170</v>
      </c>
      <c r="D56" s="4" t="str">
        <f>VLOOKUP(A56,[1]!Base_clientes[[#All],[RUT]:[Razon social]],7,0)</f>
        <v>PLAZA OESTE SPA.</v>
      </c>
      <c r="E56" s="4" t="s">
        <v>353</v>
      </c>
      <c r="F56" s="4" t="s">
        <v>354</v>
      </c>
      <c r="G56" s="5">
        <v>45807</v>
      </c>
      <c r="H56" s="4" t="s">
        <v>11</v>
      </c>
      <c r="I56" s="5">
        <v>45813</v>
      </c>
      <c r="J56" s="5">
        <v>46178</v>
      </c>
      <c r="K56" s="4" t="s">
        <v>12</v>
      </c>
      <c r="L56" s="4" t="s">
        <v>353</v>
      </c>
      <c r="M56" s="4" t="s">
        <v>359</v>
      </c>
      <c r="N56" s="4" t="s">
        <v>360</v>
      </c>
      <c r="O56" s="4" t="s">
        <v>361</v>
      </c>
    </row>
    <row r="57" spans="1:15" x14ac:dyDescent="0.35">
      <c r="A57" s="3" t="s">
        <v>171</v>
      </c>
      <c r="B57" s="4" t="s">
        <v>172</v>
      </c>
      <c r="C57" s="4" t="s">
        <v>173</v>
      </c>
      <c r="D57" s="4" t="str">
        <f>VLOOKUP(A57,[1]!Base_clientes[[#All],[RUT]:[Razon social]],7,0)</f>
        <v>PLAZA DEL TREBOL SPA</v>
      </c>
      <c r="E57" s="4" t="s">
        <v>353</v>
      </c>
      <c r="F57" s="4" t="s">
        <v>354</v>
      </c>
      <c r="G57" s="5">
        <v>45807</v>
      </c>
      <c r="H57" s="4" t="s">
        <v>11</v>
      </c>
      <c r="I57" s="5">
        <v>45813</v>
      </c>
      <c r="J57" s="5">
        <v>46178</v>
      </c>
      <c r="K57" s="4" t="s">
        <v>12</v>
      </c>
      <c r="L57" s="4" t="s">
        <v>353</v>
      </c>
      <c r="M57" s="4" t="s">
        <v>359</v>
      </c>
      <c r="N57" s="4" t="s">
        <v>360</v>
      </c>
      <c r="O57" s="4" t="s">
        <v>361</v>
      </c>
    </row>
    <row r="58" spans="1:15" x14ac:dyDescent="0.35">
      <c r="A58" s="3" t="s">
        <v>174</v>
      </c>
      <c r="B58" s="4" t="s">
        <v>175</v>
      </c>
      <c r="C58" s="4" t="s">
        <v>176</v>
      </c>
      <c r="D58" s="4" t="str">
        <f>VLOOKUP(A58,[1]!Base_clientes[[#All],[RUT]:[Razon social]],7,0)</f>
        <v>SERVICIOS FRIGORIFICO KEEP COLD S.A.</v>
      </c>
      <c r="E58" s="4" t="s">
        <v>353</v>
      </c>
      <c r="F58" s="4" t="s">
        <v>354</v>
      </c>
      <c r="G58" s="5">
        <v>45810</v>
      </c>
      <c r="H58" s="4" t="s">
        <v>11</v>
      </c>
      <c r="I58" s="5">
        <v>45813</v>
      </c>
      <c r="J58" s="5">
        <v>46178</v>
      </c>
      <c r="K58" s="4" t="s">
        <v>12</v>
      </c>
      <c r="L58" s="4" t="s">
        <v>353</v>
      </c>
      <c r="M58" s="4" t="s">
        <v>359</v>
      </c>
      <c r="N58" s="4" t="s">
        <v>360</v>
      </c>
      <c r="O58" s="4" t="s">
        <v>361</v>
      </c>
    </row>
    <row r="59" spans="1:15" x14ac:dyDescent="0.35">
      <c r="A59" s="3" t="s">
        <v>177</v>
      </c>
      <c r="B59" s="4" t="s">
        <v>178</v>
      </c>
      <c r="C59" s="4" t="s">
        <v>179</v>
      </c>
      <c r="D59" s="4" t="str">
        <f>VLOOKUP(A59,[1]!Base_clientes[[#All],[RUT]:[Razon social]],7,0)</f>
        <v>INTEGRITY S. A.</v>
      </c>
      <c r="E59" s="4" t="s">
        <v>353</v>
      </c>
      <c r="F59" s="4" t="s">
        <v>354</v>
      </c>
      <c r="G59" s="5">
        <v>45810</v>
      </c>
      <c r="H59" s="4" t="s">
        <v>11</v>
      </c>
      <c r="I59" s="5">
        <v>45813</v>
      </c>
      <c r="J59" s="5">
        <v>46178</v>
      </c>
      <c r="K59" s="4" t="s">
        <v>12</v>
      </c>
      <c r="L59" s="4" t="s">
        <v>353</v>
      </c>
      <c r="M59" s="4" t="s">
        <v>359</v>
      </c>
      <c r="N59" s="4" t="s">
        <v>360</v>
      </c>
      <c r="O59" s="4" t="s">
        <v>361</v>
      </c>
    </row>
    <row r="60" spans="1:15" x14ac:dyDescent="0.35">
      <c r="A60" s="3" t="s">
        <v>180</v>
      </c>
      <c r="B60" s="4" t="s">
        <v>181</v>
      </c>
      <c r="C60" s="4" t="s">
        <v>341</v>
      </c>
      <c r="D60" s="4" t="str">
        <f>VLOOKUP(A60,[1]!Base_clientes[[#All],[RUT]:[Razon social]],7,0)</f>
        <v>MAFOR S A</v>
      </c>
      <c r="E60" s="4" t="s">
        <v>353</v>
      </c>
      <c r="F60" s="4" t="s">
        <v>354</v>
      </c>
      <c r="G60" s="5">
        <v>45810</v>
      </c>
      <c r="H60" s="4" t="s">
        <v>11</v>
      </c>
      <c r="I60" s="5">
        <v>45813</v>
      </c>
      <c r="J60" s="5">
        <v>46178</v>
      </c>
      <c r="K60" s="4" t="s">
        <v>12</v>
      </c>
      <c r="L60" s="4" t="s">
        <v>353</v>
      </c>
      <c r="M60" s="4" t="s">
        <v>359</v>
      </c>
      <c r="N60" s="4" t="s">
        <v>360</v>
      </c>
      <c r="O60" s="4" t="s">
        <v>361</v>
      </c>
    </row>
    <row r="61" spans="1:15" x14ac:dyDescent="0.35">
      <c r="A61" s="3" t="s">
        <v>182</v>
      </c>
      <c r="B61" s="4" t="s">
        <v>183</v>
      </c>
      <c r="C61" s="4" t="s">
        <v>342</v>
      </c>
      <c r="D61" s="4" t="str">
        <f>VLOOKUP(A61,[1]!Base_clientes[[#All],[RUT]:[Razon social]],7,0)</f>
        <v>ENVASES CENTRAL S.A</v>
      </c>
      <c r="E61" s="4" t="s">
        <v>353</v>
      </c>
      <c r="F61" s="4" t="s">
        <v>354</v>
      </c>
      <c r="G61" s="5">
        <v>45810</v>
      </c>
      <c r="H61" s="4" t="s">
        <v>11</v>
      </c>
      <c r="I61" s="5">
        <v>45813</v>
      </c>
      <c r="J61" s="5">
        <v>46178</v>
      </c>
      <c r="K61" s="4" t="s">
        <v>12</v>
      </c>
      <c r="L61" s="4" t="s">
        <v>353</v>
      </c>
      <c r="M61" s="4" t="s">
        <v>359</v>
      </c>
      <c r="N61" s="4" t="s">
        <v>360</v>
      </c>
      <c r="O61" s="4" t="s">
        <v>361</v>
      </c>
    </row>
    <row r="62" spans="1:15" x14ac:dyDescent="0.35">
      <c r="A62" s="3" t="s">
        <v>184</v>
      </c>
      <c r="B62" s="4" t="s">
        <v>185</v>
      </c>
      <c r="C62" s="4" t="s">
        <v>343</v>
      </c>
      <c r="D62" s="4" t="str">
        <f>VLOOKUP(A62,[1]!Base_clientes[[#All],[RUT]:[Razon social]],7,0)</f>
        <v>SOC. TORRE CONJUNTA CERRO SAN CRISTOBAL</v>
      </c>
      <c r="E62" s="4" t="s">
        <v>353</v>
      </c>
      <c r="F62" s="4" t="s">
        <v>354</v>
      </c>
      <c r="G62" s="5">
        <v>45810</v>
      </c>
      <c r="H62" s="4" t="s">
        <v>11</v>
      </c>
      <c r="I62" s="5">
        <v>45813</v>
      </c>
      <c r="J62" s="5">
        <v>46178</v>
      </c>
      <c r="K62" s="4" t="s">
        <v>12</v>
      </c>
      <c r="L62" s="4" t="s">
        <v>353</v>
      </c>
      <c r="M62" s="4" t="s">
        <v>359</v>
      </c>
      <c r="N62" s="4" t="s">
        <v>360</v>
      </c>
      <c r="O62" s="4" t="s">
        <v>361</v>
      </c>
    </row>
    <row r="63" spans="1:15" x14ac:dyDescent="0.35">
      <c r="A63" s="3" t="s">
        <v>186</v>
      </c>
      <c r="B63" s="4" t="s">
        <v>187</v>
      </c>
      <c r="C63" s="4" t="s">
        <v>188</v>
      </c>
      <c r="D63" s="4" t="str">
        <f>VLOOKUP(A63,[1]!Base_clientes[[#All],[RUT]:[Razon social]],7,0)</f>
        <v>FIBROSONOCO S.A.</v>
      </c>
      <c r="E63" s="4" t="s">
        <v>353</v>
      </c>
      <c r="F63" s="4" t="s">
        <v>354</v>
      </c>
      <c r="G63" s="5">
        <v>45810</v>
      </c>
      <c r="H63" s="4" t="s">
        <v>11</v>
      </c>
      <c r="I63" s="5">
        <v>45813</v>
      </c>
      <c r="J63" s="5">
        <v>46178</v>
      </c>
      <c r="K63" s="4" t="s">
        <v>12</v>
      </c>
      <c r="L63" s="4" t="s">
        <v>353</v>
      </c>
      <c r="M63" s="4" t="s">
        <v>359</v>
      </c>
      <c r="N63" s="4" t="s">
        <v>360</v>
      </c>
      <c r="O63" s="4" t="s">
        <v>361</v>
      </c>
    </row>
    <row r="64" spans="1:15" x14ac:dyDescent="0.35">
      <c r="A64" s="3" t="s">
        <v>189</v>
      </c>
      <c r="B64" s="4" t="s">
        <v>190</v>
      </c>
      <c r="C64" s="4" t="s">
        <v>191</v>
      </c>
      <c r="D64" s="4" t="str">
        <f>VLOOKUP(A64,[1]!Base_clientes[[#All],[RUT]:[Razon social]],7,0)</f>
        <v>CLINICA VESPUCIO</v>
      </c>
      <c r="E64" s="4" t="s">
        <v>353</v>
      </c>
      <c r="F64" s="4" t="s">
        <v>354</v>
      </c>
      <c r="G64" s="5">
        <v>45810</v>
      </c>
      <c r="H64" s="4" t="s">
        <v>11</v>
      </c>
      <c r="I64" s="5">
        <v>45813</v>
      </c>
      <c r="J64" s="5">
        <v>46178</v>
      </c>
      <c r="K64" s="4" t="s">
        <v>12</v>
      </c>
      <c r="L64" s="4" t="s">
        <v>353</v>
      </c>
      <c r="M64" s="4" t="s">
        <v>359</v>
      </c>
      <c r="N64" s="4" t="s">
        <v>360</v>
      </c>
      <c r="O64" s="4" t="s">
        <v>361</v>
      </c>
    </row>
    <row r="65" spans="1:15" x14ac:dyDescent="0.35">
      <c r="A65" s="3" t="s">
        <v>192</v>
      </c>
      <c r="B65" s="4" t="s">
        <v>193</v>
      </c>
      <c r="C65" s="4" t="s">
        <v>194</v>
      </c>
      <c r="D65" s="4" t="str">
        <f>VLOOKUP(A65,[1]!Base_clientes[[#All],[RUT]:[Razon social]],7,0)</f>
        <v>RIVULIS PLASTRO RIEGO LIMITADA</v>
      </c>
      <c r="E65" s="4" t="s">
        <v>353</v>
      </c>
      <c r="F65" s="4" t="s">
        <v>354</v>
      </c>
      <c r="G65" s="5">
        <v>45810</v>
      </c>
      <c r="H65" s="4" t="s">
        <v>11</v>
      </c>
      <c r="I65" s="5">
        <v>45813</v>
      </c>
      <c r="J65" s="5">
        <v>46178</v>
      </c>
      <c r="K65" s="4" t="s">
        <v>12</v>
      </c>
      <c r="L65" s="4" t="s">
        <v>353</v>
      </c>
      <c r="M65" s="4" t="s">
        <v>359</v>
      </c>
      <c r="N65" s="4" t="s">
        <v>360</v>
      </c>
      <c r="O65" s="4" t="s">
        <v>361</v>
      </c>
    </row>
    <row r="66" spans="1:15" x14ac:dyDescent="0.35">
      <c r="A66" s="3" t="s">
        <v>195</v>
      </c>
      <c r="B66" s="4" t="s">
        <v>196</v>
      </c>
      <c r="C66" s="4" t="s">
        <v>197</v>
      </c>
      <c r="D66" s="4" t="str">
        <f>VLOOKUP(A66,[1]!Base_clientes[[#All],[RUT]:[Razon social]],7,0)</f>
        <v xml:space="preserve">FITTINGS Y LLAVERIAS S.A.     </v>
      </c>
      <c r="E66" s="4" t="s">
        <v>353</v>
      </c>
      <c r="F66" s="4" t="s">
        <v>354</v>
      </c>
      <c r="G66" s="5">
        <v>45810</v>
      </c>
      <c r="H66" s="4" t="s">
        <v>11</v>
      </c>
      <c r="I66" s="5">
        <v>45813</v>
      </c>
      <c r="J66" s="5">
        <v>46178</v>
      </c>
      <c r="K66" s="4" t="s">
        <v>12</v>
      </c>
      <c r="L66" s="4" t="s">
        <v>353</v>
      </c>
      <c r="M66" s="4" t="s">
        <v>359</v>
      </c>
      <c r="N66" s="4" t="s">
        <v>360</v>
      </c>
      <c r="O66" s="4" t="s">
        <v>361</v>
      </c>
    </row>
    <row r="67" spans="1:15" x14ac:dyDescent="0.35">
      <c r="A67" s="3" t="s">
        <v>198</v>
      </c>
      <c r="B67" s="4" t="s">
        <v>199</v>
      </c>
      <c r="C67" s="4" t="s">
        <v>344</v>
      </c>
      <c r="D67" s="4" t="str">
        <f>VLOOKUP(A67,[1]!Base_clientes[[#All],[RUT]:[Razon social]],7,0)</f>
        <v>GESTION VIAL S.A.</v>
      </c>
      <c r="E67" s="4" t="s">
        <v>353</v>
      </c>
      <c r="F67" s="4" t="s">
        <v>354</v>
      </c>
      <c r="G67" s="5">
        <v>45810</v>
      </c>
      <c r="H67" s="4" t="s">
        <v>11</v>
      </c>
      <c r="I67" s="5">
        <v>45813</v>
      </c>
      <c r="J67" s="5">
        <v>46178</v>
      </c>
      <c r="K67" s="4" t="s">
        <v>12</v>
      </c>
      <c r="L67" s="4" t="s">
        <v>353</v>
      </c>
      <c r="M67" s="4" t="s">
        <v>359</v>
      </c>
      <c r="N67" s="4" t="s">
        <v>360</v>
      </c>
      <c r="O67" s="4" t="s">
        <v>361</v>
      </c>
    </row>
    <row r="68" spans="1:15" x14ac:dyDescent="0.35">
      <c r="A68" s="3" t="s">
        <v>200</v>
      </c>
      <c r="B68" s="4" t="s">
        <v>201</v>
      </c>
      <c r="C68" s="4" t="s">
        <v>202</v>
      </c>
      <c r="D68" s="4" t="str">
        <f>VLOOKUP(A68,[1]!Base_clientes[[#All],[RUT]:[Razon social]],7,0)</f>
        <v>CARTOCOR CHILE S.A.</v>
      </c>
      <c r="E68" s="4" t="s">
        <v>353</v>
      </c>
      <c r="F68" s="4" t="s">
        <v>354</v>
      </c>
      <c r="G68" s="5">
        <v>45810</v>
      </c>
      <c r="H68" s="4" t="s">
        <v>11</v>
      </c>
      <c r="I68" s="5">
        <v>45813</v>
      </c>
      <c r="J68" s="5">
        <v>46178</v>
      </c>
      <c r="K68" s="4" t="s">
        <v>12</v>
      </c>
      <c r="L68" s="4" t="s">
        <v>353</v>
      </c>
      <c r="M68" s="4" t="s">
        <v>359</v>
      </c>
      <c r="N68" s="4" t="s">
        <v>360</v>
      </c>
      <c r="O68" s="4" t="s">
        <v>361</v>
      </c>
    </row>
    <row r="69" spans="1:15" x14ac:dyDescent="0.35">
      <c r="A69" s="3" t="s">
        <v>203</v>
      </c>
      <c r="B69" s="4" t="s">
        <v>204</v>
      </c>
      <c r="C69" s="4" t="s">
        <v>345</v>
      </c>
      <c r="D69" s="4" t="str">
        <f>VLOOKUP(A69,[1]!Base_clientes[[#All],[RUT]:[Razon social]],7,0)</f>
        <v>SOC CONCESIONARIA AUTOPISTA NORORIENTE S</v>
      </c>
      <c r="E69" s="4" t="s">
        <v>353</v>
      </c>
      <c r="F69" s="4" t="s">
        <v>354</v>
      </c>
      <c r="G69" s="5">
        <v>45810</v>
      </c>
      <c r="H69" s="4" t="s">
        <v>11</v>
      </c>
      <c r="I69" s="5">
        <v>45813</v>
      </c>
      <c r="J69" s="5">
        <v>46178</v>
      </c>
      <c r="K69" s="4" t="s">
        <v>12</v>
      </c>
      <c r="L69" s="4" t="s">
        <v>353</v>
      </c>
      <c r="M69" s="4" t="s">
        <v>359</v>
      </c>
      <c r="N69" s="4" t="s">
        <v>360</v>
      </c>
      <c r="O69" s="4" t="s">
        <v>361</v>
      </c>
    </row>
    <row r="70" spans="1:15" x14ac:dyDescent="0.35">
      <c r="A70" s="3" t="s">
        <v>205</v>
      </c>
      <c r="B70" s="4" t="s">
        <v>206</v>
      </c>
      <c r="C70" s="4" t="s">
        <v>207</v>
      </c>
      <c r="D70" s="4" t="str">
        <f>VLOOKUP(A70,[1]!Base_clientes[[#All],[RUT]:[Razon social]],7,0)</f>
        <v>SOC. CONCESIONARIA A. BICENTENARIO S.A.</v>
      </c>
      <c r="E70" s="4" t="s">
        <v>353</v>
      </c>
      <c r="F70" s="4" t="s">
        <v>354</v>
      </c>
      <c r="G70" s="5">
        <v>45810</v>
      </c>
      <c r="H70" s="4" t="s">
        <v>11</v>
      </c>
      <c r="I70" s="5">
        <v>45813</v>
      </c>
      <c r="J70" s="5">
        <v>46178</v>
      </c>
      <c r="K70" s="4" t="s">
        <v>12</v>
      </c>
      <c r="L70" s="4" t="s">
        <v>353</v>
      </c>
      <c r="M70" s="4" t="s">
        <v>359</v>
      </c>
      <c r="N70" s="4" t="s">
        <v>360</v>
      </c>
      <c r="O70" s="4" t="s">
        <v>361</v>
      </c>
    </row>
    <row r="71" spans="1:15" x14ac:dyDescent="0.35">
      <c r="A71" s="3" t="s">
        <v>208</v>
      </c>
      <c r="B71" s="4" t="s">
        <v>209</v>
      </c>
      <c r="C71" s="4" t="s">
        <v>210</v>
      </c>
      <c r="D71" s="4" t="str">
        <f>VLOOKUP(A71,[1]!Base_clientes[[#All],[RUT]:[Razon social]],7,0)</f>
        <v>BAGLEY CHILE S.A</v>
      </c>
      <c r="E71" s="4" t="s">
        <v>353</v>
      </c>
      <c r="F71" s="4" t="s">
        <v>354</v>
      </c>
      <c r="G71" s="5">
        <v>45810</v>
      </c>
      <c r="H71" s="4" t="s">
        <v>11</v>
      </c>
      <c r="I71" s="5">
        <v>45813</v>
      </c>
      <c r="J71" s="5">
        <v>46178</v>
      </c>
      <c r="K71" s="4" t="s">
        <v>12</v>
      </c>
      <c r="L71" s="4" t="s">
        <v>353</v>
      </c>
      <c r="M71" s="4" t="s">
        <v>359</v>
      </c>
      <c r="N71" s="4" t="s">
        <v>360</v>
      </c>
      <c r="O71" s="4" t="s">
        <v>361</v>
      </c>
    </row>
    <row r="72" spans="1:15" x14ac:dyDescent="0.35">
      <c r="A72" s="3" t="s">
        <v>211</v>
      </c>
      <c r="B72" s="4" t="s">
        <v>212</v>
      </c>
      <c r="C72" s="4" t="s">
        <v>346</v>
      </c>
      <c r="D72" s="4" t="str">
        <f>VLOOKUP(A72,[1]!Base_clientes[[#All],[RUT]:[Razon social]],7,0)</f>
        <v>TANDEM</v>
      </c>
      <c r="E72" s="4" t="s">
        <v>353</v>
      </c>
      <c r="F72" s="4" t="s">
        <v>354</v>
      </c>
      <c r="G72" s="5">
        <v>45810</v>
      </c>
      <c r="H72" s="4" t="s">
        <v>11</v>
      </c>
      <c r="I72" s="5">
        <v>45813</v>
      </c>
      <c r="J72" s="5">
        <v>46178</v>
      </c>
      <c r="K72" s="4" t="s">
        <v>12</v>
      </c>
      <c r="L72" s="4" t="s">
        <v>353</v>
      </c>
      <c r="M72" s="4" t="s">
        <v>359</v>
      </c>
      <c r="N72" s="4" t="s">
        <v>360</v>
      </c>
      <c r="O72" s="4" t="s">
        <v>361</v>
      </c>
    </row>
    <row r="73" spans="1:15" x14ac:dyDescent="0.35">
      <c r="A73" s="3" t="s">
        <v>213</v>
      </c>
      <c r="B73" s="4" t="s">
        <v>214</v>
      </c>
      <c r="C73" s="4" t="s">
        <v>347</v>
      </c>
      <c r="D73" s="4" t="str">
        <f>VLOOKUP(A73,[1]!Base_clientes[[#All],[RUT]:[Razon social]],7,0)</f>
        <v>AGRÍCOLAS LAS CRUZADAS SPA</v>
      </c>
      <c r="E73" s="4" t="s">
        <v>353</v>
      </c>
      <c r="F73" s="4" t="s">
        <v>354</v>
      </c>
      <c r="G73" s="5">
        <v>45810</v>
      </c>
      <c r="H73" s="4" t="s">
        <v>11</v>
      </c>
      <c r="I73" s="5">
        <v>45813</v>
      </c>
      <c r="J73" s="5">
        <v>46178</v>
      </c>
      <c r="K73" s="4" t="s">
        <v>12</v>
      </c>
      <c r="L73" s="4" t="s">
        <v>353</v>
      </c>
      <c r="M73" s="4" t="s">
        <v>359</v>
      </c>
      <c r="N73" s="4" t="s">
        <v>360</v>
      </c>
      <c r="O73" s="4" t="s">
        <v>361</v>
      </c>
    </row>
    <row r="74" spans="1:15" x14ac:dyDescent="0.35">
      <c r="A74" s="3" t="s">
        <v>215</v>
      </c>
      <c r="B74" s="4" t="s">
        <v>216</v>
      </c>
      <c r="C74" s="4" t="s">
        <v>217</v>
      </c>
      <c r="D74" s="4" t="str">
        <f>VLOOKUP(A74,[1]!Base_clientes[[#All],[RUT]:[Razon social]],7,0)</f>
        <v>RENTAS PATIO VI SPA</v>
      </c>
      <c r="E74" s="4" t="s">
        <v>353</v>
      </c>
      <c r="F74" s="4" t="s">
        <v>354</v>
      </c>
      <c r="G74" s="5">
        <v>45810</v>
      </c>
      <c r="H74" s="4" t="s">
        <v>11</v>
      </c>
      <c r="I74" s="5">
        <v>45813</v>
      </c>
      <c r="J74" s="5">
        <v>46178</v>
      </c>
      <c r="K74" s="4" t="s">
        <v>12</v>
      </c>
      <c r="L74" s="4" t="s">
        <v>353</v>
      </c>
      <c r="M74" s="4" t="s">
        <v>359</v>
      </c>
      <c r="N74" s="4" t="s">
        <v>360</v>
      </c>
      <c r="O74" s="4" t="s">
        <v>361</v>
      </c>
    </row>
    <row r="75" spans="1:15" x14ac:dyDescent="0.35">
      <c r="A75" s="3" t="s">
        <v>218</v>
      </c>
      <c r="B75" s="4" t="s">
        <v>219</v>
      </c>
      <c r="C75" s="4" t="s">
        <v>220</v>
      </c>
      <c r="D75" s="4" t="str">
        <f>VLOOKUP(A75,[1]!Base_clientes[[#All],[RUT]:[Razon social]],7,0)</f>
        <v>ECOMAS S.A.</v>
      </c>
      <c r="E75" s="4" t="s">
        <v>353</v>
      </c>
      <c r="F75" s="4" t="s">
        <v>354</v>
      </c>
      <c r="G75" s="5">
        <v>45810</v>
      </c>
      <c r="H75" s="4" t="s">
        <v>11</v>
      </c>
      <c r="I75" s="5">
        <v>45813</v>
      </c>
      <c r="J75" s="5">
        <v>46178</v>
      </c>
      <c r="K75" s="4" t="s">
        <v>12</v>
      </c>
      <c r="L75" s="4" t="s">
        <v>353</v>
      </c>
      <c r="M75" s="4" t="s">
        <v>359</v>
      </c>
      <c r="N75" s="4" t="s">
        <v>360</v>
      </c>
      <c r="O75" s="4" t="s">
        <v>361</v>
      </c>
    </row>
    <row r="76" spans="1:15" x14ac:dyDescent="0.35">
      <c r="A76" s="3" t="s">
        <v>221</v>
      </c>
      <c r="B76" s="4" t="s">
        <v>222</v>
      </c>
      <c r="C76" s="4" t="s">
        <v>223</v>
      </c>
      <c r="D76" s="4" t="str">
        <f>VLOOKUP(A76,[1]!Base_clientes[[#All],[RUT]:[Razon social]],7,0)</f>
        <v>Sociedad Concesionaria Aeropuerto Diego Aracena S.A.</v>
      </c>
      <c r="E76" s="4" t="s">
        <v>353</v>
      </c>
      <c r="F76" s="4" t="s">
        <v>354</v>
      </c>
      <c r="G76" s="5">
        <v>45810</v>
      </c>
      <c r="H76" s="4" t="s">
        <v>11</v>
      </c>
      <c r="I76" s="5">
        <v>45813</v>
      </c>
      <c r="J76" s="5">
        <v>46178</v>
      </c>
      <c r="K76" s="4" t="s">
        <v>12</v>
      </c>
      <c r="L76" s="4" t="s">
        <v>353</v>
      </c>
      <c r="M76" s="4" t="s">
        <v>359</v>
      </c>
      <c r="N76" s="4" t="s">
        <v>360</v>
      </c>
      <c r="O76" s="4" t="s">
        <v>361</v>
      </c>
    </row>
    <row r="77" spans="1:15" x14ac:dyDescent="0.35">
      <c r="A77" s="3" t="s">
        <v>224</v>
      </c>
      <c r="B77" s="4" t="s">
        <v>225</v>
      </c>
      <c r="C77" s="4" t="s">
        <v>348</v>
      </c>
      <c r="D77" s="4" t="str">
        <f>VLOOKUP(A77,[1]!Base_clientes[[#All],[RUT]:[Razon social]],7,0)</f>
        <v>ATRIA ENERGÍA SpA</v>
      </c>
      <c r="E77" s="4" t="s">
        <v>353</v>
      </c>
      <c r="F77" s="4" t="s">
        <v>354</v>
      </c>
      <c r="G77" s="5">
        <v>45810</v>
      </c>
      <c r="H77" s="4" t="s">
        <v>11</v>
      </c>
      <c r="I77" s="5">
        <v>45813</v>
      </c>
      <c r="J77" s="5">
        <v>46178</v>
      </c>
      <c r="K77" s="4" t="s">
        <v>12</v>
      </c>
      <c r="L77" s="4" t="s">
        <v>353</v>
      </c>
      <c r="M77" s="4" t="s">
        <v>359</v>
      </c>
      <c r="N77" s="4" t="s">
        <v>360</v>
      </c>
      <c r="O77" s="4" t="s">
        <v>361</v>
      </c>
    </row>
    <row r="78" spans="1:15" x14ac:dyDescent="0.35">
      <c r="A78" s="3" t="s">
        <v>226</v>
      </c>
      <c r="B78" s="4" t="s">
        <v>227</v>
      </c>
      <c r="C78" s="4" t="s">
        <v>228</v>
      </c>
      <c r="D78" s="4" t="str">
        <f>VLOOKUP(A78,[1]!Base_clientes[[#All],[RUT]:[Razon social]],7,0)</f>
        <v>Safira Energía Chile Spa</v>
      </c>
      <c r="E78" s="4" t="s">
        <v>353</v>
      </c>
      <c r="F78" s="4" t="s">
        <v>354</v>
      </c>
      <c r="G78" s="5">
        <v>45810</v>
      </c>
      <c r="H78" s="4" t="s">
        <v>11</v>
      </c>
      <c r="I78" s="5">
        <v>45813</v>
      </c>
      <c r="J78" s="5">
        <v>46178</v>
      </c>
      <c r="K78" s="4" t="s">
        <v>12</v>
      </c>
      <c r="L78" s="4" t="s">
        <v>353</v>
      </c>
      <c r="M78" s="4" t="s">
        <v>359</v>
      </c>
      <c r="N78" s="4" t="s">
        <v>360</v>
      </c>
      <c r="O78" s="4" t="s">
        <v>361</v>
      </c>
    </row>
    <row r="79" spans="1:15" x14ac:dyDescent="0.35">
      <c r="A79" s="3" t="s">
        <v>229</v>
      </c>
      <c r="B79" s="4" t="s">
        <v>230</v>
      </c>
      <c r="C79" s="4" t="s">
        <v>231</v>
      </c>
      <c r="D79" s="4" t="str">
        <f>VLOOKUP(A79,[1]!Base_clientes[[#All],[RUT]:[Razon social]],7,0)</f>
        <v>ALA BASE N.1</v>
      </c>
      <c r="E79" s="4" t="s">
        <v>353</v>
      </c>
      <c r="F79" s="4" t="s">
        <v>354</v>
      </c>
      <c r="G79" s="5">
        <v>45810</v>
      </c>
      <c r="H79" s="4" t="s">
        <v>11</v>
      </c>
      <c r="I79" s="5">
        <v>45825</v>
      </c>
      <c r="J79" s="5">
        <v>46190</v>
      </c>
      <c r="K79" s="4" t="s">
        <v>12</v>
      </c>
      <c r="L79" s="4" t="s">
        <v>353</v>
      </c>
      <c r="M79" s="4" t="s">
        <v>359</v>
      </c>
      <c r="N79" s="4" t="s">
        <v>360</v>
      </c>
      <c r="O79" s="4" t="s">
        <v>361</v>
      </c>
    </row>
    <row r="80" spans="1:15" x14ac:dyDescent="0.35">
      <c r="A80" s="3" t="s">
        <v>232</v>
      </c>
      <c r="B80" s="4" t="s">
        <v>233</v>
      </c>
      <c r="C80" s="4" t="s">
        <v>234</v>
      </c>
      <c r="D80" s="4" t="str">
        <f>VLOOKUP(A80,[1]!Base_clientes[[#All],[RUT]:[Razon social]],7,0)</f>
        <v>AGRICOLA UNI-AGRI COPIAPO SPA</v>
      </c>
      <c r="E80" s="4" t="s">
        <v>353</v>
      </c>
      <c r="F80" s="4" t="s">
        <v>354</v>
      </c>
      <c r="G80" s="5">
        <v>45810</v>
      </c>
      <c r="H80" s="4" t="s">
        <v>11</v>
      </c>
      <c r="I80" s="5">
        <v>45831</v>
      </c>
      <c r="J80" s="5">
        <v>46196</v>
      </c>
      <c r="K80" s="4" t="s">
        <v>12</v>
      </c>
      <c r="L80" s="4" t="s">
        <v>353</v>
      </c>
      <c r="M80" s="4" t="s">
        <v>359</v>
      </c>
      <c r="N80" s="4" t="s">
        <v>360</v>
      </c>
      <c r="O80" s="4" t="s">
        <v>361</v>
      </c>
    </row>
    <row r="81" spans="1:15" x14ac:dyDescent="0.35">
      <c r="A81" s="3" t="s">
        <v>235</v>
      </c>
      <c r="B81" s="4" t="s">
        <v>236</v>
      </c>
      <c r="C81" s="4" t="s">
        <v>237</v>
      </c>
      <c r="D81" s="4" t="str">
        <f>VLOOKUP(A81,[1]!Base_clientes[[#All],[RUT]:[Razon social]],7,0)</f>
        <v>SOCIEDAD DE ALIMENTACIÓN CASINO EXPRESS S.A.</v>
      </c>
      <c r="E81" s="4" t="s">
        <v>353</v>
      </c>
      <c r="F81" s="4" t="s">
        <v>354</v>
      </c>
      <c r="G81" s="5">
        <v>45810</v>
      </c>
      <c r="H81" s="4" t="s">
        <v>11</v>
      </c>
      <c r="I81" s="5">
        <v>45831</v>
      </c>
      <c r="J81" s="5">
        <v>46196</v>
      </c>
      <c r="K81" s="4" t="s">
        <v>12</v>
      </c>
      <c r="L81" s="4" t="s">
        <v>353</v>
      </c>
      <c r="M81" s="4" t="s">
        <v>359</v>
      </c>
      <c r="N81" s="4" t="s">
        <v>360</v>
      </c>
      <c r="O81" s="4" t="s">
        <v>361</v>
      </c>
    </row>
    <row r="82" spans="1:15" x14ac:dyDescent="0.35">
      <c r="A82" s="3" t="s">
        <v>238</v>
      </c>
      <c r="B82" s="4" t="s">
        <v>239</v>
      </c>
      <c r="C82" s="4" t="s">
        <v>240</v>
      </c>
      <c r="D82" s="4" t="str">
        <f>VLOOKUP(A82,[1]!Base_clientes[[#All],[RUT]:[Razon social]],7,0)</f>
        <v>AGRÍCOLA LLAHUEN S.A.</v>
      </c>
      <c r="E82" s="4" t="s">
        <v>353</v>
      </c>
      <c r="F82" s="4" t="s">
        <v>354</v>
      </c>
      <c r="G82" s="5">
        <v>45810</v>
      </c>
      <c r="H82" s="4" t="s">
        <v>11</v>
      </c>
      <c r="I82" s="5">
        <v>45832</v>
      </c>
      <c r="J82" s="5">
        <v>46197</v>
      </c>
      <c r="K82" s="4" t="s">
        <v>12</v>
      </c>
      <c r="L82" s="4" t="s">
        <v>353</v>
      </c>
      <c r="M82" s="4" t="s">
        <v>359</v>
      </c>
      <c r="N82" s="4" t="s">
        <v>360</v>
      </c>
      <c r="O82" s="4" t="s">
        <v>361</v>
      </c>
    </row>
    <row r="83" spans="1:15" x14ac:dyDescent="0.35">
      <c r="A83" s="3" t="s">
        <v>241</v>
      </c>
      <c r="B83" s="4" t="s">
        <v>242</v>
      </c>
      <c r="C83" s="4" t="s">
        <v>349</v>
      </c>
      <c r="D83" s="4" t="str">
        <f>VLOOKUP(A83,[1]!Base_clientes[[#All],[RUT]:[Razon social]],7,0)</f>
        <v>EMPRESA DE TRANSPORTE DE PASAJEROS METRO S.A</v>
      </c>
      <c r="E83" s="4" t="s">
        <v>353</v>
      </c>
      <c r="F83" s="4" t="s">
        <v>354</v>
      </c>
      <c r="G83" s="5">
        <v>45810</v>
      </c>
      <c r="H83" s="4" t="s">
        <v>11</v>
      </c>
      <c r="I83" s="5">
        <v>45825</v>
      </c>
      <c r="J83" s="5">
        <v>46190</v>
      </c>
      <c r="K83" s="4" t="s">
        <v>12</v>
      </c>
      <c r="L83" s="4" t="s">
        <v>353</v>
      </c>
      <c r="M83" s="4" t="s">
        <v>359</v>
      </c>
      <c r="N83" s="4" t="s">
        <v>360</v>
      </c>
      <c r="O83" s="4" t="s">
        <v>361</v>
      </c>
    </row>
    <row r="84" spans="1:15" x14ac:dyDescent="0.35">
      <c r="A84" s="3" t="s">
        <v>243</v>
      </c>
      <c r="B84" s="4" t="s">
        <v>244</v>
      </c>
      <c r="C84" s="4" t="s">
        <v>245</v>
      </c>
      <c r="D84" s="4" t="str">
        <f>VLOOKUP(A84,[1]!Base_clientes[[#All],[RUT]:[Razon social]],7,0)</f>
        <v>CMPC TISSUE S.A.</v>
      </c>
      <c r="E84" s="4" t="s">
        <v>353</v>
      </c>
      <c r="F84" s="4" t="s">
        <v>354</v>
      </c>
      <c r="G84" s="5">
        <v>45810</v>
      </c>
      <c r="H84" s="4" t="s">
        <v>11</v>
      </c>
      <c r="I84" s="5">
        <v>45831</v>
      </c>
      <c r="J84" s="5">
        <v>46196</v>
      </c>
      <c r="K84" s="4" t="s">
        <v>12</v>
      </c>
      <c r="L84" s="4" t="s">
        <v>353</v>
      </c>
      <c r="M84" s="4" t="s">
        <v>359</v>
      </c>
      <c r="N84" s="4" t="s">
        <v>360</v>
      </c>
      <c r="O84" s="4" t="s">
        <v>361</v>
      </c>
    </row>
    <row r="85" spans="1:15" x14ac:dyDescent="0.35">
      <c r="A85" s="3" t="s">
        <v>246</v>
      </c>
      <c r="B85" s="4" t="s">
        <v>247</v>
      </c>
      <c r="C85" s="4" t="s">
        <v>248</v>
      </c>
      <c r="D85" s="4" t="str">
        <f>VLOOKUP(A85,[1]!Base_clientes[[#All],[RUT]:[Razon social]],7,0)</f>
        <v>VILLALBA S. A.</v>
      </c>
      <c r="E85" s="4" t="s">
        <v>353</v>
      </c>
      <c r="F85" s="4" t="s">
        <v>354</v>
      </c>
      <c r="G85" s="5">
        <v>45840</v>
      </c>
      <c r="H85" s="4" t="s">
        <v>11</v>
      </c>
      <c r="I85" s="5">
        <v>45842</v>
      </c>
      <c r="J85" s="5">
        <v>46207</v>
      </c>
      <c r="K85" s="4" t="s">
        <v>12</v>
      </c>
      <c r="L85" s="4" t="s">
        <v>353</v>
      </c>
      <c r="M85" s="4" t="s">
        <v>359</v>
      </c>
      <c r="N85" s="4" t="s">
        <v>360</v>
      </c>
      <c r="O85" s="4" t="s">
        <v>361</v>
      </c>
    </row>
    <row r="86" spans="1:15" x14ac:dyDescent="0.35">
      <c r="A86" s="3" t="s">
        <v>249</v>
      </c>
      <c r="B86" s="4" t="s">
        <v>250</v>
      </c>
      <c r="C86" s="4" t="s">
        <v>251</v>
      </c>
      <c r="D86" s="4" t="str">
        <f>VLOOKUP(A86,[1]!Base_clientes[[#All],[RUT]:[Razon social]],7,0)</f>
        <v>Laboratorio Sanderson S.A.</v>
      </c>
      <c r="E86" s="4" t="s">
        <v>353</v>
      </c>
      <c r="F86" s="4" t="s">
        <v>354</v>
      </c>
      <c r="G86" s="5">
        <v>45953.425370370373</v>
      </c>
      <c r="H86" s="4" t="s">
        <v>252</v>
      </c>
      <c r="I86" s="5">
        <v>45965.658831018518</v>
      </c>
      <c r="J86" s="5">
        <v>46145.658831018518</v>
      </c>
      <c r="K86" s="4" t="s">
        <v>12</v>
      </c>
      <c r="L86" s="4" t="s">
        <v>353</v>
      </c>
      <c r="M86" s="4" t="s">
        <v>359</v>
      </c>
      <c r="N86" s="4" t="s">
        <v>360</v>
      </c>
      <c r="O86" s="4" t="s">
        <v>361</v>
      </c>
    </row>
    <row r="87" spans="1:15" x14ac:dyDescent="0.35">
      <c r="A87" s="3" t="s">
        <v>253</v>
      </c>
      <c r="B87" s="4" t="s">
        <v>254</v>
      </c>
      <c r="C87" s="4" t="s">
        <v>255</v>
      </c>
      <c r="D87" s="4" t="str">
        <f>VLOOKUP(A87,[1]!Base_clientes[[#All],[RUT]:[Razon social]],7,0)</f>
        <v>Complejo Asistencial Dr. Sótero del Río</v>
      </c>
      <c r="E87" s="4" t="s">
        <v>353</v>
      </c>
      <c r="F87" s="4" t="s">
        <v>354</v>
      </c>
      <c r="G87" s="5">
        <v>45959.749652777777</v>
      </c>
      <c r="H87" s="4" t="s">
        <v>252</v>
      </c>
      <c r="I87" s="5">
        <v>45974.351643518516</v>
      </c>
      <c r="J87" s="5">
        <v>46154.351643518516</v>
      </c>
      <c r="K87" s="4" t="s">
        <v>12</v>
      </c>
      <c r="L87" s="4" t="s">
        <v>353</v>
      </c>
      <c r="M87" s="4" t="s">
        <v>359</v>
      </c>
      <c r="N87" s="4" t="s">
        <v>360</v>
      </c>
      <c r="O87" s="4" t="s">
        <v>361</v>
      </c>
    </row>
    <row r="88" spans="1:15" x14ac:dyDescent="0.35">
      <c r="A88" s="3" t="s">
        <v>256</v>
      </c>
      <c r="B88" s="4" t="s">
        <v>257</v>
      </c>
      <c r="C88" s="4" t="s">
        <v>258</v>
      </c>
      <c r="D88" s="4" t="str">
        <f>VLOOKUP(A88,[1]!Base_clientes[[#All],[RUT]:[Razon social]],7,0)</f>
        <v>SERVICIO DE SALUD OCCIDENTE HOSPITAL SAN JUAN DE DIOS</v>
      </c>
      <c r="E88" s="4" t="s">
        <v>353</v>
      </c>
      <c r="F88" s="4" t="s">
        <v>354</v>
      </c>
      <c r="G88" s="5">
        <v>45959.751643518517</v>
      </c>
      <c r="H88" s="4" t="s">
        <v>259</v>
      </c>
      <c r="I88" s="5">
        <v>45978</v>
      </c>
      <c r="J88" s="5">
        <v>46068</v>
      </c>
      <c r="K88" s="4" t="s">
        <v>12</v>
      </c>
      <c r="L88" s="4" t="s">
        <v>353</v>
      </c>
      <c r="M88" s="4" t="s">
        <v>359</v>
      </c>
      <c r="N88" s="4" t="s">
        <v>360</v>
      </c>
      <c r="O88" s="4" t="s">
        <v>361</v>
      </c>
    </row>
    <row r="89" spans="1:15" x14ac:dyDescent="0.35">
      <c r="A89" s="3" t="s">
        <v>260</v>
      </c>
      <c r="B89" s="4" t="s">
        <v>261</v>
      </c>
      <c r="C89" s="4" t="s">
        <v>262</v>
      </c>
      <c r="D89" s="4" t="str">
        <f>VLOOKUP(A89,[1]!Base_clientes[[#All],[RUT]:[Razon social]],7,0)</f>
        <v>MUT CARABINEROS</v>
      </c>
      <c r="E89" s="4" t="s">
        <v>353</v>
      </c>
      <c r="F89" s="4" t="s">
        <v>354</v>
      </c>
      <c r="G89" s="5">
        <v>45974.611481481479</v>
      </c>
      <c r="H89" s="4" t="s">
        <v>252</v>
      </c>
      <c r="I89" s="5">
        <v>46002.391030092593</v>
      </c>
      <c r="J89" s="5">
        <v>46182.391030092593</v>
      </c>
      <c r="K89" s="4" t="s">
        <v>12</v>
      </c>
      <c r="L89" s="4" t="s">
        <v>353</v>
      </c>
      <c r="M89" s="4" t="s">
        <v>359</v>
      </c>
      <c r="N89" s="4" t="s">
        <v>360</v>
      </c>
      <c r="O89" s="4" t="s">
        <v>361</v>
      </c>
    </row>
    <row r="90" spans="1:15" x14ac:dyDescent="0.35">
      <c r="A90" s="3" t="s">
        <v>263</v>
      </c>
      <c r="B90" s="4" t="s">
        <v>264</v>
      </c>
      <c r="C90" s="4" t="s">
        <v>265</v>
      </c>
      <c r="D90" s="4" t="str">
        <f>VLOOKUP(A90,[1]!Base_clientes[[#All],[RUT]:[Razon social]],7,0)</f>
        <v>POLICIA DE INVESTIGACIONES DE CHILE</v>
      </c>
      <c r="E90" s="4" t="s">
        <v>353</v>
      </c>
      <c r="F90" s="4" t="s">
        <v>354</v>
      </c>
      <c r="G90" s="5">
        <v>45974.616666666669</v>
      </c>
      <c r="H90" s="4" t="s">
        <v>252</v>
      </c>
      <c r="I90" s="5">
        <v>46008.396608796298</v>
      </c>
      <c r="J90" s="5">
        <v>46188.396608796298</v>
      </c>
      <c r="K90" s="4" t="s">
        <v>12</v>
      </c>
      <c r="L90" s="4" t="s">
        <v>353</v>
      </c>
      <c r="M90" s="4" t="s">
        <v>359</v>
      </c>
      <c r="N90" s="4" t="s">
        <v>360</v>
      </c>
      <c r="O90" s="4" t="s">
        <v>361</v>
      </c>
    </row>
    <row r="91" spans="1:15" x14ac:dyDescent="0.35">
      <c r="A91" s="3" t="s">
        <v>266</v>
      </c>
      <c r="B91" s="4" t="s">
        <v>267</v>
      </c>
      <c r="C91" s="4" t="s">
        <v>268</v>
      </c>
      <c r="D91" s="4" t="str">
        <f>VLOOKUP(A91,[1]!Base_clientes[[#All],[RUT]:[Razon social]],7,0)</f>
        <v>WOM SPA</v>
      </c>
      <c r="E91" s="4" t="s">
        <v>353</v>
      </c>
      <c r="F91" s="4" t="s">
        <v>354</v>
      </c>
      <c r="G91" s="5">
        <v>45975.5080787037</v>
      </c>
      <c r="H91" s="4" t="s">
        <v>252</v>
      </c>
      <c r="I91" s="5">
        <v>45985.371678240743</v>
      </c>
      <c r="J91" s="5">
        <v>46165.371678240743</v>
      </c>
      <c r="K91" s="4" t="s">
        <v>12</v>
      </c>
      <c r="L91" s="4" t="s">
        <v>353</v>
      </c>
      <c r="M91" s="4" t="s">
        <v>359</v>
      </c>
      <c r="N91" s="4" t="s">
        <v>360</v>
      </c>
      <c r="O91" s="4" t="s">
        <v>361</v>
      </c>
    </row>
    <row r="92" spans="1:15" x14ac:dyDescent="0.35">
      <c r="A92" s="3" t="s">
        <v>269</v>
      </c>
      <c r="B92" s="4" t="s">
        <v>270</v>
      </c>
      <c r="C92" s="4" t="s">
        <v>271</v>
      </c>
      <c r="D92" s="4" t="str">
        <f>VLOOKUP(A92,[1]!Base_clientes[[#All],[RUT]:[Razon social]],7,0)</f>
        <v>COMERCIAL ECCSA S A</v>
      </c>
      <c r="E92" s="4" t="s">
        <v>353</v>
      </c>
      <c r="F92" s="4" t="s">
        <v>354</v>
      </c>
      <c r="G92" s="5">
        <v>45996.393125000002</v>
      </c>
      <c r="H92" s="4" t="s">
        <v>252</v>
      </c>
      <c r="I92" s="5">
        <v>46006.623252314814</v>
      </c>
      <c r="J92" s="5">
        <v>46186.623252314814</v>
      </c>
      <c r="K92" s="4" t="s">
        <v>12</v>
      </c>
      <c r="L92" s="4" t="s">
        <v>353</v>
      </c>
      <c r="M92" s="4" t="s">
        <v>359</v>
      </c>
      <c r="N92" s="4" t="s">
        <v>360</v>
      </c>
      <c r="O92" s="4" t="s">
        <v>361</v>
      </c>
    </row>
    <row r="93" spans="1:15" x14ac:dyDescent="0.35">
      <c r="A93" s="3" t="s">
        <v>272</v>
      </c>
      <c r="B93" s="4" t="s">
        <v>273</v>
      </c>
      <c r="C93" s="4" t="s">
        <v>274</v>
      </c>
      <c r="D93" s="4" t="str">
        <f>VLOOKUP(A93,[1]!Base_clientes[[#All],[RUT]:[Razon social]],7,0)</f>
        <v>DYNAL INDUSTRIAL S.A.</v>
      </c>
      <c r="E93" s="4" t="s">
        <v>353</v>
      </c>
      <c r="F93" s="4" t="s">
        <v>354</v>
      </c>
      <c r="G93" s="5">
        <v>45996.399699074071</v>
      </c>
      <c r="H93" s="4" t="s">
        <v>252</v>
      </c>
      <c r="I93" s="5">
        <v>46006.625844907408</v>
      </c>
      <c r="J93" s="5">
        <v>46186.625844907408</v>
      </c>
      <c r="K93" s="4" t="s">
        <v>12</v>
      </c>
      <c r="L93" s="4" t="s">
        <v>353</v>
      </c>
      <c r="M93" s="4" t="s">
        <v>359</v>
      </c>
      <c r="N93" s="4" t="s">
        <v>360</v>
      </c>
      <c r="O93" s="4" t="s">
        <v>361</v>
      </c>
    </row>
    <row r="94" spans="1:15" x14ac:dyDescent="0.35">
      <c r="A94" s="3" t="s">
        <v>275</v>
      </c>
      <c r="B94" s="4" t="s">
        <v>276</v>
      </c>
      <c r="C94" s="4" t="s">
        <v>277</v>
      </c>
      <c r="D94" s="4" t="str">
        <f>VLOOKUP(A94,[1]!Base_clientes[[#All],[RUT]:[Razon social]],7,0)</f>
        <v>METLIFE CHILE SEGUROS DE VIDA S.A.</v>
      </c>
      <c r="E94" s="4" t="s">
        <v>353</v>
      </c>
      <c r="F94" s="4" t="s">
        <v>354</v>
      </c>
      <c r="G94" s="5">
        <v>45996.414652777778</v>
      </c>
      <c r="H94" s="4" t="s">
        <v>252</v>
      </c>
      <c r="I94" s="5">
        <v>46006.620682870373</v>
      </c>
      <c r="J94" s="5">
        <v>46186.620682870373</v>
      </c>
      <c r="K94" s="4" t="s">
        <v>12</v>
      </c>
      <c r="L94" s="4" t="s">
        <v>353</v>
      </c>
      <c r="M94" s="4" t="s">
        <v>359</v>
      </c>
      <c r="N94" s="4" t="s">
        <v>360</v>
      </c>
      <c r="O94" s="4" t="s">
        <v>361</v>
      </c>
    </row>
    <row r="95" spans="1:15" x14ac:dyDescent="0.35">
      <c r="A95" s="3" t="s">
        <v>278</v>
      </c>
      <c r="B95" s="4" t="s">
        <v>279</v>
      </c>
      <c r="C95" s="4" t="s">
        <v>280</v>
      </c>
      <c r="D95" s="4" t="str">
        <f>VLOOKUP(A95,[1]!Base_clientes[[#All],[RUT]:[Razon social]],7,0)</f>
        <v>CLINICA DAVILA Y SERVICIOS MEDICOS SPA</v>
      </c>
      <c r="E95" s="4" t="s">
        <v>353</v>
      </c>
      <c r="F95" s="4" t="s">
        <v>354</v>
      </c>
      <c r="G95" s="5">
        <v>45996.429537037038</v>
      </c>
      <c r="H95" s="4" t="s">
        <v>252</v>
      </c>
      <c r="I95" s="5">
        <v>46006.624016203707</v>
      </c>
      <c r="J95" s="5">
        <v>46186.624016203707</v>
      </c>
      <c r="K95" s="4" t="s">
        <v>12</v>
      </c>
      <c r="L95" s="4" t="s">
        <v>353</v>
      </c>
      <c r="M95" s="4" t="s">
        <v>359</v>
      </c>
      <c r="N95" s="4" t="s">
        <v>360</v>
      </c>
      <c r="O95" s="4" t="s">
        <v>361</v>
      </c>
    </row>
    <row r="96" spans="1:15" x14ac:dyDescent="0.35">
      <c r="A96" s="3" t="s">
        <v>281</v>
      </c>
      <c r="B96" s="4" t="s">
        <v>282</v>
      </c>
      <c r="C96" s="4" t="s">
        <v>283</v>
      </c>
      <c r="D96" s="4" t="str">
        <f>VLOOKUP(A96,[1]!Base_clientes[[#All],[RUT]:[Razon social]],7,0)</f>
        <v>SEGUROS DE VIDA SURA S.A.</v>
      </c>
      <c r="E96" s="4" t="s">
        <v>353</v>
      </c>
      <c r="F96" s="4" t="s">
        <v>354</v>
      </c>
      <c r="G96" s="5">
        <v>45996.431284722225</v>
      </c>
      <c r="H96" s="4" t="s">
        <v>252</v>
      </c>
      <c r="I96" s="5">
        <v>46006.621701388889</v>
      </c>
      <c r="J96" s="5">
        <v>46186.621701388889</v>
      </c>
      <c r="K96" s="4" t="s">
        <v>12</v>
      </c>
      <c r="L96" s="4" t="s">
        <v>353</v>
      </c>
      <c r="M96" s="4" t="s">
        <v>359</v>
      </c>
      <c r="N96" s="4" t="s">
        <v>360</v>
      </c>
      <c r="O96" s="4" t="s">
        <v>361</v>
      </c>
    </row>
    <row r="97" spans="1:15" x14ac:dyDescent="0.35">
      <c r="A97" s="3" t="s">
        <v>284</v>
      </c>
      <c r="B97" s="4" t="s">
        <v>285</v>
      </c>
      <c r="C97" s="4" t="s">
        <v>286</v>
      </c>
      <c r="D97" s="4" t="str">
        <f>VLOOKUP(A97,[1]!Base_clientes[[#All],[RUT]:[Razon social]],7,0)</f>
        <v>COMPAÑÍA GENERAL DE ELECTRICIDAD S.A.</v>
      </c>
      <c r="E97" s="4" t="s">
        <v>353</v>
      </c>
      <c r="F97" s="4" t="s">
        <v>354</v>
      </c>
      <c r="G97" s="5">
        <v>45996.454629629632</v>
      </c>
      <c r="H97" s="4" t="s">
        <v>252</v>
      </c>
      <c r="I97" s="5">
        <v>46006.622557870367</v>
      </c>
      <c r="J97" s="5">
        <v>46186.622557870367</v>
      </c>
      <c r="K97" s="4" t="s">
        <v>12</v>
      </c>
      <c r="L97" s="4" t="s">
        <v>353</v>
      </c>
      <c r="M97" s="4" t="s">
        <v>359</v>
      </c>
      <c r="N97" s="4" t="s">
        <v>360</v>
      </c>
      <c r="O97" s="4" t="s">
        <v>361</v>
      </c>
    </row>
    <row r="98" spans="1:15" x14ac:dyDescent="0.35">
      <c r="A98" s="3" t="s">
        <v>287</v>
      </c>
      <c r="B98" s="4" t="s">
        <v>288</v>
      </c>
      <c r="C98" s="4" t="s">
        <v>289</v>
      </c>
      <c r="D98" s="4" t="str">
        <f>VLOOKUP(A98,[1]!Base_clientes[[#All],[RUT]:[Razon social]],7,0)</f>
        <v>ACIERTA ENERGIA SPA</v>
      </c>
      <c r="E98" s="4" t="s">
        <v>353</v>
      </c>
      <c r="F98" s="4" t="s">
        <v>354</v>
      </c>
      <c r="G98" s="5">
        <v>45996.557326388887</v>
      </c>
      <c r="H98" s="4" t="s">
        <v>11</v>
      </c>
      <c r="I98" s="5">
        <v>46007.442071759258</v>
      </c>
      <c r="J98" s="5">
        <v>46372.442071759258</v>
      </c>
      <c r="K98" s="4" t="s">
        <v>290</v>
      </c>
      <c r="L98" s="4" t="s">
        <v>353</v>
      </c>
      <c r="M98" s="4" t="s">
        <v>359</v>
      </c>
      <c r="N98" s="4" t="s">
        <v>360</v>
      </c>
      <c r="O98" s="4" t="s">
        <v>361</v>
      </c>
    </row>
    <row r="99" spans="1:15" x14ac:dyDescent="0.35">
      <c r="A99" s="3" t="s">
        <v>291</v>
      </c>
      <c r="B99" s="4" t="s">
        <v>292</v>
      </c>
      <c r="C99" s="4" t="s">
        <v>293</v>
      </c>
      <c r="D99" s="4" t="str">
        <f>VLOOKUP(A99,[1]!Base_clientes[[#All],[RUT]:[Razon social]],7,0)</f>
        <v>HOSPITAL PUERTO MONTT SERVICIO DE SALUD DEL RELONCAVI</v>
      </c>
      <c r="E99" s="4" t="s">
        <v>353</v>
      </c>
      <c r="F99" s="4" t="s">
        <v>354</v>
      </c>
      <c r="G99" s="5">
        <v>46041</v>
      </c>
      <c r="H99" s="4" t="s">
        <v>259</v>
      </c>
      <c r="I99" s="5">
        <v>46056</v>
      </c>
      <c r="J99" s="5">
        <v>46146</v>
      </c>
      <c r="K99" s="4" t="s">
        <v>12</v>
      </c>
      <c r="L99" s="4" t="s">
        <v>353</v>
      </c>
      <c r="M99" s="4" t="s">
        <v>359</v>
      </c>
      <c r="N99" s="4" t="s">
        <v>360</v>
      </c>
      <c r="O99" s="4" t="s">
        <v>361</v>
      </c>
    </row>
    <row r="100" spans="1:15" x14ac:dyDescent="0.35">
      <c r="A100" s="3" t="s">
        <v>294</v>
      </c>
      <c r="B100" s="4" t="s">
        <v>295</v>
      </c>
      <c r="C100" s="4" t="s">
        <v>296</v>
      </c>
      <c r="D100" s="4" t="str">
        <f>VLOOKUP(A100,[1]!Base_clientes[[#All],[RUT]:[Razon social]],7,0)</f>
        <v>SERVICIO DE SALUD ORIENTE HOSPITAL LUIS CALVO MACKENNA</v>
      </c>
      <c r="E100" s="4" t="s">
        <v>353</v>
      </c>
      <c r="F100" s="4" t="s">
        <v>354</v>
      </c>
      <c r="G100" s="5">
        <v>46041</v>
      </c>
      <c r="H100" s="4" t="s">
        <v>259</v>
      </c>
      <c r="I100" s="5">
        <v>46064</v>
      </c>
      <c r="J100" s="5">
        <v>46154</v>
      </c>
      <c r="K100" s="4" t="s">
        <v>12</v>
      </c>
      <c r="L100" s="4" t="s">
        <v>353</v>
      </c>
      <c r="M100" s="4" t="s">
        <v>359</v>
      </c>
      <c r="N100" s="4" t="s">
        <v>360</v>
      </c>
      <c r="O100" s="4" t="s">
        <v>361</v>
      </c>
    </row>
    <row r="101" spans="1:15" x14ac:dyDescent="0.35">
      <c r="A101" s="3" t="s">
        <v>297</v>
      </c>
      <c r="B101" s="4" t="s">
        <v>298</v>
      </c>
      <c r="C101" s="4" t="s">
        <v>350</v>
      </c>
      <c r="D101" s="4" t="str">
        <f>VLOOKUP(A101,[1]!Base_clientes[[#All],[RUT]:[Razon social]],7,0)</f>
        <v>SERVICIO NACIONAL ARAUCANIA SUR HOSPITAL DR ABRAHAM GODOY PENA LAUTARO</v>
      </c>
      <c r="E101" s="4" t="s">
        <v>353</v>
      </c>
      <c r="F101" s="4" t="s">
        <v>354</v>
      </c>
      <c r="G101" s="5">
        <v>46041</v>
      </c>
      <c r="H101" s="4" t="s">
        <v>259</v>
      </c>
      <c r="I101" s="5">
        <v>46064</v>
      </c>
      <c r="J101" s="5">
        <v>46154</v>
      </c>
      <c r="K101" s="4" t="s">
        <v>12</v>
      </c>
      <c r="L101" s="4" t="s">
        <v>353</v>
      </c>
      <c r="M101" s="4" t="s">
        <v>359</v>
      </c>
      <c r="N101" s="4" t="s">
        <v>360</v>
      </c>
      <c r="O101" s="4" t="s">
        <v>361</v>
      </c>
    </row>
    <row r="102" spans="1:15" x14ac:dyDescent="0.35">
      <c r="A102" s="3" t="s">
        <v>299</v>
      </c>
      <c r="B102" s="4" t="s">
        <v>300</v>
      </c>
      <c r="C102" s="4" t="s">
        <v>301</v>
      </c>
      <c r="D102" s="4" t="str">
        <f>VLOOKUP(A102,[1]!Base_clientes[[#All],[RUT]:[Razon social]],7,0)</f>
        <v>TOTAL AUSTRAL S.A.</v>
      </c>
      <c r="E102" s="4" t="s">
        <v>353</v>
      </c>
      <c r="F102" s="4" t="s">
        <v>354</v>
      </c>
      <c r="G102" s="5">
        <v>46092.665277777778</v>
      </c>
      <c r="H102" s="4" t="s">
        <v>259</v>
      </c>
      <c r="I102" s="5">
        <v>46105.51494212963</v>
      </c>
      <c r="J102" s="5">
        <v>46195.51494212963</v>
      </c>
      <c r="K102" s="4" t="s">
        <v>12</v>
      </c>
      <c r="L102" s="4" t="s">
        <v>353</v>
      </c>
      <c r="M102" s="4" t="s">
        <v>359</v>
      </c>
      <c r="N102" s="4" t="s">
        <v>360</v>
      </c>
      <c r="O102" s="4" t="s">
        <v>361</v>
      </c>
    </row>
    <row r="103" spans="1:15" x14ac:dyDescent="0.35">
      <c r="A103" s="3" t="s">
        <v>302</v>
      </c>
      <c r="B103" s="4" t="s">
        <v>303</v>
      </c>
      <c r="C103" s="4" t="s">
        <v>304</v>
      </c>
      <c r="D103" s="4" t="str">
        <f>VLOOKUP(A103,[1]!Base_clientes[[#All],[RUT]:[Razon social]],7,0)</f>
        <v>CODELCO CHILE</v>
      </c>
      <c r="E103" s="4" t="s">
        <v>353</v>
      </c>
      <c r="F103" s="4" t="s">
        <v>354</v>
      </c>
      <c r="G103" s="5">
        <v>45974.614606481482</v>
      </c>
      <c r="H103" s="4" t="s">
        <v>259</v>
      </c>
      <c r="I103" s="5">
        <v>46008.402719907404</v>
      </c>
      <c r="J103" s="5">
        <v>46098.402719907404</v>
      </c>
      <c r="K103" s="4" t="s">
        <v>12</v>
      </c>
      <c r="L103" s="4" t="s">
        <v>353</v>
      </c>
      <c r="M103" s="4" t="s">
        <v>359</v>
      </c>
      <c r="N103" s="4" t="s">
        <v>360</v>
      </c>
      <c r="O103" s="4" t="s">
        <v>361</v>
      </c>
    </row>
    <row r="104" spans="1:15" x14ac:dyDescent="0.35">
      <c r="A104" s="3" t="s">
        <v>305</v>
      </c>
      <c r="B104" s="4" t="s">
        <v>306</v>
      </c>
      <c r="C104" s="4" t="s">
        <v>307</v>
      </c>
      <c r="D104" s="4" t="str">
        <f>VLOOKUP(A104,[1]!Base_clientes[[#All],[RUT]:[Razon social]],7,0)</f>
        <v>Enerbosch S.A</v>
      </c>
      <c r="E104" s="4" t="s">
        <v>353</v>
      </c>
      <c r="F104" s="4" t="s">
        <v>354</v>
      </c>
      <c r="G104" s="5">
        <v>45741</v>
      </c>
      <c r="H104" s="4" t="s">
        <v>11</v>
      </c>
      <c r="I104" s="5">
        <v>45742</v>
      </c>
      <c r="J104" s="5">
        <v>46107</v>
      </c>
      <c r="K104" s="4" t="s">
        <v>12</v>
      </c>
      <c r="L104" s="4" t="s">
        <v>353</v>
      </c>
      <c r="M104" s="4" t="s">
        <v>359</v>
      </c>
      <c r="N104" s="4" t="s">
        <v>360</v>
      </c>
      <c r="O104" s="4" t="s">
        <v>361</v>
      </c>
    </row>
    <row r="105" spans="1:15" x14ac:dyDescent="0.35">
      <c r="A105" s="3" t="s">
        <v>308</v>
      </c>
      <c r="B105" s="4"/>
      <c r="C105" s="4"/>
      <c r="D105" s="4" t="str">
        <f>VLOOKUP(A105,[1]!Base_clientes[[#All],[RUT]:[Razon social]],7,0)</f>
        <v>Sociedad Concesionaria Nueva Vespucio Norte Express S.A</v>
      </c>
      <c r="E105" s="4" t="s">
        <v>353</v>
      </c>
      <c r="F105" s="4" t="s">
        <v>354</v>
      </c>
      <c r="G105" s="5"/>
      <c r="H105" s="4"/>
      <c r="I105" s="5"/>
      <c r="J105" s="5"/>
      <c r="K105" s="4"/>
      <c r="L105" s="4" t="s">
        <v>353</v>
      </c>
      <c r="M105" s="4" t="s">
        <v>359</v>
      </c>
      <c r="N105" s="4" t="s">
        <v>360</v>
      </c>
      <c r="O105" s="4" t="s">
        <v>361</v>
      </c>
    </row>
    <row r="106" spans="1:15" x14ac:dyDescent="0.35">
      <c r="A106" s="3" t="s">
        <v>309</v>
      </c>
      <c r="B106" s="4" t="s">
        <v>310</v>
      </c>
      <c r="C106" s="4" t="s">
        <v>311</v>
      </c>
      <c r="D106" s="4" t="str">
        <f>VLOOKUP(A106,[1]!Base_clientes[[#All],[RUT]:[Razon social]],7,0)</f>
        <v>EXEQUIEL FERNANDEZ RENTA SPA</v>
      </c>
      <c r="E106" s="4" t="s">
        <v>353</v>
      </c>
      <c r="F106" s="4" t="s">
        <v>354</v>
      </c>
      <c r="G106" s="5">
        <v>45824</v>
      </c>
      <c r="H106" s="4" t="s">
        <v>252</v>
      </c>
      <c r="I106" s="5">
        <v>45832</v>
      </c>
      <c r="J106" s="5">
        <v>46012</v>
      </c>
      <c r="K106" s="4" t="s">
        <v>12</v>
      </c>
      <c r="L106" s="4" t="s">
        <v>353</v>
      </c>
      <c r="M106" s="4" t="s">
        <v>359</v>
      </c>
      <c r="N106" s="4" t="s">
        <v>360</v>
      </c>
      <c r="O106" s="4" t="s">
        <v>361</v>
      </c>
    </row>
    <row r="107" spans="1:15" x14ac:dyDescent="0.35">
      <c r="A107" s="3" t="s">
        <v>312</v>
      </c>
      <c r="B107" s="4" t="s">
        <v>313</v>
      </c>
      <c r="C107" s="4" t="s">
        <v>314</v>
      </c>
      <c r="D107" s="4" t="str">
        <f>VLOOKUP(A107,[1]!Base_clientes[[#All],[RUT]:[Razon social]],7,0)</f>
        <v>IMPERIAL S.A.</v>
      </c>
      <c r="E107" s="4" t="s">
        <v>353</v>
      </c>
      <c r="F107" s="4" t="s">
        <v>354</v>
      </c>
      <c r="G107" s="5">
        <v>45741</v>
      </c>
      <c r="H107" s="4" t="s">
        <v>11</v>
      </c>
      <c r="I107" s="5">
        <v>45754</v>
      </c>
      <c r="J107" s="5">
        <v>46119</v>
      </c>
      <c r="K107" s="4" t="s">
        <v>12</v>
      </c>
      <c r="L107" s="4" t="s">
        <v>353</v>
      </c>
      <c r="M107" s="4" t="s">
        <v>359</v>
      </c>
      <c r="N107" s="4" t="s">
        <v>360</v>
      </c>
      <c r="O107" s="4" t="s">
        <v>361</v>
      </c>
    </row>
    <row r="108" spans="1:15" x14ac:dyDescent="0.35">
      <c r="A108" s="3" t="s">
        <v>315</v>
      </c>
      <c r="B108" s="4" t="s">
        <v>316</v>
      </c>
      <c r="C108" s="4" t="s">
        <v>317</v>
      </c>
      <c r="D108" s="4" t="str">
        <f>VLOOKUP(A108,[1]!Base_clientes[[#All],[RUT]:[Razon social]],7,0)</f>
        <v>COMERCIALIZADORA Y TRANSFORMADORA DE METALES SPA</v>
      </c>
      <c r="E108" s="4" t="s">
        <v>353</v>
      </c>
      <c r="F108" s="4" t="s">
        <v>354</v>
      </c>
      <c r="G108" s="5">
        <v>45818</v>
      </c>
      <c r="H108" s="4" t="s">
        <v>252</v>
      </c>
      <c r="I108" s="5">
        <v>45831</v>
      </c>
      <c r="J108" s="5">
        <v>46011</v>
      </c>
      <c r="K108" s="4" t="s">
        <v>12</v>
      </c>
      <c r="L108" s="4" t="s">
        <v>353</v>
      </c>
      <c r="M108" s="4" t="s">
        <v>359</v>
      </c>
      <c r="N108" s="4" t="s">
        <v>360</v>
      </c>
      <c r="O108" s="4" t="s">
        <v>361</v>
      </c>
    </row>
    <row r="109" spans="1:15" x14ac:dyDescent="0.35">
      <c r="A109" s="3" t="s">
        <v>318</v>
      </c>
      <c r="B109" s="4" t="s">
        <v>319</v>
      </c>
      <c r="C109" s="4" t="s">
        <v>320</v>
      </c>
      <c r="D109" s="4" t="str">
        <f>VLOOKUP(A109,[1]!Base_clientes[[#All],[RUT]:[Razon social]],7,0)</f>
        <v>SOCIEDAD DE PLASTICOS TECNICOS SA</v>
      </c>
      <c r="E109" s="4" t="s">
        <v>353</v>
      </c>
      <c r="F109" s="4" t="s">
        <v>354</v>
      </c>
      <c r="G109" s="5">
        <v>45769</v>
      </c>
      <c r="H109" s="4" t="s">
        <v>11</v>
      </c>
      <c r="I109" s="5">
        <v>45775</v>
      </c>
      <c r="J109" s="5">
        <v>46140</v>
      </c>
      <c r="K109" s="4" t="s">
        <v>12</v>
      </c>
      <c r="L109" s="4" t="s">
        <v>353</v>
      </c>
      <c r="M109" s="4" t="s">
        <v>359</v>
      </c>
      <c r="N109" s="4" t="s">
        <v>360</v>
      </c>
      <c r="O109" s="4" t="s">
        <v>361</v>
      </c>
    </row>
    <row r="110" spans="1:15" x14ac:dyDescent="0.35">
      <c r="A110" s="3" t="s">
        <v>321</v>
      </c>
      <c r="B110" s="4" t="s">
        <v>322</v>
      </c>
      <c r="C110" s="4" t="s">
        <v>323</v>
      </c>
      <c r="D110" s="4" t="str">
        <f>VLOOKUP(A110,[1]!Base_clientes[[#All],[RUT]:[Razon social]],7,0)</f>
        <v>FAENADORA LO MIRANDA LIMITADA</v>
      </c>
      <c r="E110" s="4" t="s">
        <v>353</v>
      </c>
      <c r="F110" s="4" t="s">
        <v>354</v>
      </c>
      <c r="G110" s="5">
        <v>45622.786215277774</v>
      </c>
      <c r="H110" s="4" t="s">
        <v>11</v>
      </c>
      <c r="I110" s="5">
        <v>45628.651273148149</v>
      </c>
      <c r="J110" s="5">
        <v>45993.651273148149</v>
      </c>
      <c r="K110" s="4" t="s">
        <v>12</v>
      </c>
      <c r="L110" s="4" t="s">
        <v>353</v>
      </c>
      <c r="M110" s="4" t="s">
        <v>359</v>
      </c>
      <c r="N110" s="4" t="s">
        <v>360</v>
      </c>
      <c r="O110" s="4" t="s">
        <v>361</v>
      </c>
    </row>
    <row r="111" spans="1:15" x14ac:dyDescent="0.35">
      <c r="A111" s="3" t="s">
        <v>324</v>
      </c>
      <c r="B111" s="4" t="s">
        <v>325</v>
      </c>
      <c r="C111" s="4" t="s">
        <v>326</v>
      </c>
      <c r="D111" s="4" t="str">
        <f>VLOOKUP(A111,[1]!Base_clientes[[#All],[RUT]:[Razon social]],7,0)</f>
        <v>LEVADURAS COLLICO S.A.</v>
      </c>
      <c r="E111" s="4" t="s">
        <v>353</v>
      </c>
      <c r="F111" s="4" t="s">
        <v>354</v>
      </c>
      <c r="G111" s="5">
        <v>44805.934733796297</v>
      </c>
      <c r="H111" s="4" t="s">
        <v>11</v>
      </c>
      <c r="I111" s="5">
        <v>44805.934733796297</v>
      </c>
      <c r="J111" s="5">
        <v>45170.934733796297</v>
      </c>
      <c r="K111" s="4" t="s">
        <v>12</v>
      </c>
      <c r="L111" s="4" t="s">
        <v>353</v>
      </c>
      <c r="M111" s="4" t="s">
        <v>359</v>
      </c>
      <c r="N111" s="4" t="s">
        <v>360</v>
      </c>
      <c r="O111" s="4" t="s">
        <v>361</v>
      </c>
    </row>
    <row r="112" spans="1:15" x14ac:dyDescent="0.35">
      <c r="A112" s="3" t="s">
        <v>327</v>
      </c>
      <c r="B112" s="4" t="s">
        <v>328</v>
      </c>
      <c r="C112" s="4" t="s">
        <v>329</v>
      </c>
      <c r="D112" s="4" t="str">
        <f>VLOOKUP(A112,[1]!Base_clientes[[#All],[RUT]:[Razon social]],7,0)</f>
        <v>AGRÍCOLA SUPER LIMITADA</v>
      </c>
      <c r="E112" s="4" t="s">
        <v>353</v>
      </c>
      <c r="F112" s="4" t="s">
        <v>354</v>
      </c>
      <c r="G112" s="5">
        <v>45622.786932870367</v>
      </c>
      <c r="H112" s="4" t="s">
        <v>11</v>
      </c>
      <c r="I112" s="5">
        <v>45624</v>
      </c>
      <c r="J112" s="5">
        <v>45989</v>
      </c>
      <c r="K112" s="4" t="s">
        <v>12</v>
      </c>
      <c r="L112" s="4" t="s">
        <v>353</v>
      </c>
      <c r="M112" s="4" t="s">
        <v>359</v>
      </c>
      <c r="N112" s="4" t="s">
        <v>360</v>
      </c>
      <c r="O112" s="4" t="s">
        <v>361</v>
      </c>
    </row>
    <row r="113" spans="1:15" x14ac:dyDescent="0.35">
      <c r="A113" s="3" t="s">
        <v>330</v>
      </c>
      <c r="B113" s="4" t="s">
        <v>331</v>
      </c>
      <c r="C113" s="4" t="s">
        <v>332</v>
      </c>
      <c r="D113" s="4" t="str">
        <f>VLOOKUP(A113,[1]!Base_clientes[[#All],[RUT]:[Razon social]],7,0)</f>
        <v>PRODALAM S.A.</v>
      </c>
      <c r="E113" s="4" t="s">
        <v>353</v>
      </c>
      <c r="F113" s="4" t="s">
        <v>354</v>
      </c>
      <c r="G113" s="5">
        <v>45636.376331018517</v>
      </c>
      <c r="H113" s="4" t="s">
        <v>11</v>
      </c>
      <c r="I113" s="5">
        <v>45636.745486111111</v>
      </c>
      <c r="J113" s="5">
        <v>46001.745486111111</v>
      </c>
      <c r="K113" s="4" t="s">
        <v>12</v>
      </c>
      <c r="L113" s="4" t="s">
        <v>353</v>
      </c>
      <c r="M113" s="4" t="s">
        <v>359</v>
      </c>
      <c r="N113" s="4" t="s">
        <v>360</v>
      </c>
      <c r="O113" s="4" t="s">
        <v>361</v>
      </c>
    </row>
    <row r="114" spans="1:15" x14ac:dyDescent="0.35">
      <c r="A114" s="3" t="s">
        <v>333</v>
      </c>
      <c r="B114" s="4" t="s">
        <v>334</v>
      </c>
      <c r="C114" s="4" t="s">
        <v>335</v>
      </c>
      <c r="D114" s="4" t="str">
        <f>VLOOKUP(A114,[1]!Base_clientes[[#All],[RUT]:[Razon social]],7,0)</f>
        <v>WINPACK S.A.</v>
      </c>
      <c r="E114" s="4" t="s">
        <v>353</v>
      </c>
      <c r="F114" s="4" t="s">
        <v>354</v>
      </c>
      <c r="G114" s="5">
        <v>45621.732858796298</v>
      </c>
      <c r="H114" s="4" t="s">
        <v>11</v>
      </c>
      <c r="I114" s="5">
        <v>45624.639363425929</v>
      </c>
      <c r="J114" s="5">
        <v>45989.639363425929</v>
      </c>
      <c r="K114" s="4" t="s">
        <v>12</v>
      </c>
      <c r="L114" s="4" t="s">
        <v>353</v>
      </c>
      <c r="M114" s="4" t="s">
        <v>359</v>
      </c>
      <c r="N114" s="4" t="s">
        <v>360</v>
      </c>
      <c r="O114" s="4" t="s">
        <v>361</v>
      </c>
    </row>
  </sheetData>
  <autoFilter ref="A1:O1" xr:uid="{F392E282-2551-439C-8D08-095198BE3D9A}"/>
  <conditionalFormatting sqref="A68">
    <cfRule type="duplicateValues" dxfId="11" priority="12"/>
  </conditionalFormatting>
  <conditionalFormatting sqref="A69:A97 A1:A67">
    <cfRule type="duplicateValues" dxfId="10" priority="11"/>
  </conditionalFormatting>
  <conditionalFormatting sqref="A98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</conditionalFormatting>
  <conditionalFormatting sqref="A99:A114 A2:A97">
    <cfRule type="duplicateValues" dxfId="4" priority="6"/>
  </conditionalFormatting>
  <conditionalFormatting sqref="A99:A114 A69:A97 A1:A67"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Orellana Oreste, Nadia Camila</dc:creator>
  <cp:lastModifiedBy>Orellana Oreste, Nadia Camila</cp:lastModifiedBy>
  <dcterms:created xsi:type="dcterms:W3CDTF">2026-07-07T20:02:02Z</dcterms:created>
  <dcterms:modified xsi:type="dcterms:W3CDTF">2026-07-07T21:26:03Z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2026-07-07T20:11:41Z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25cf059e-d153-42a1-abb6-6a9461d9348a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